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Ian-Hussey/git/measurement-trends-in-psychology/04 registered report/02 article coding/data/02 extractions for validation of the codebook/"/>
    </mc:Choice>
  </mc:AlternateContent>
  <xr:revisionPtr revIDLastSave="0" documentId="13_ncr:1_{4555011E-9144-574E-8D76-C8CE7592AC99}" xr6:coauthVersionLast="47" xr6:coauthVersionMax="47" xr10:uidLastSave="{00000000-0000-0000-0000-000000000000}"/>
  <bookViews>
    <workbookView xWindow="140" yWindow="900" windowWidth="21860" windowHeight="18220" xr2:uid="{B2907C9E-4347-43CE-B33B-8FC63DE4D889}"/>
  </bookViews>
  <sheets>
    <sheet name="data" sheetId="1" r:id="rId1"/>
    <sheet name="categories" sheetId="2" r:id="rId2"/>
    <sheet name="categories 2" sheetId="3" r:id="rId3"/>
  </sheets>
  <definedNames>
    <definedName name="_Int_3zCWM0Ms" localSheetId="2">'categories 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5" i="1" l="1"/>
  <c r="O190" i="1"/>
  <c r="O27" i="1" l="1"/>
  <c r="O89" i="1"/>
  <c r="O144" i="1"/>
  <c r="O154" i="1"/>
  <c r="O145" i="1"/>
  <c r="O35" i="1"/>
  <c r="O9" i="1"/>
  <c r="O78" i="1"/>
  <c r="O58" i="1"/>
  <c r="O90" i="1"/>
  <c r="O91" i="1"/>
  <c r="O97" i="1"/>
  <c r="O98" i="1"/>
  <c r="O163" i="1"/>
  <c r="O164" i="1"/>
  <c r="O162" i="1"/>
  <c r="O159" i="1"/>
  <c r="O160" i="1"/>
  <c r="O198" i="1"/>
  <c r="O199" i="1"/>
  <c r="O196" i="1"/>
  <c r="O194" i="1"/>
  <c r="O191" i="1"/>
  <c r="O192" i="1"/>
  <c r="O188" i="1"/>
  <c r="O186" i="1"/>
  <c r="O180" i="1"/>
  <c r="O181" i="1"/>
  <c r="O182" i="1"/>
  <c r="O183" i="1"/>
  <c r="O184" i="1"/>
  <c r="O177" i="1"/>
  <c r="O178" i="1"/>
  <c r="O173" i="1"/>
  <c r="O174" i="1"/>
  <c r="O171" i="1"/>
  <c r="O165" i="1"/>
  <c r="O166" i="1"/>
  <c r="O167" i="1"/>
  <c r="O168" i="1"/>
  <c r="O169" i="1"/>
  <c r="O156" i="1"/>
  <c r="O157" i="1"/>
  <c r="O147" i="1"/>
  <c r="O148" i="1"/>
  <c r="O149" i="1"/>
  <c r="O150" i="1"/>
  <c r="O151" i="1"/>
  <c r="O152" i="1"/>
  <c r="O143" i="1"/>
  <c r="O141" i="1"/>
  <c r="O138" i="1"/>
  <c r="O139" i="1"/>
  <c r="O133" i="1"/>
  <c r="O134" i="1"/>
  <c r="O135" i="1"/>
  <c r="O136" i="1"/>
  <c r="O125" i="1"/>
  <c r="O126" i="1"/>
  <c r="O127" i="1"/>
  <c r="O128" i="1"/>
  <c r="O129" i="1"/>
  <c r="O130" i="1"/>
  <c r="O131" i="1"/>
  <c r="O122" i="1"/>
  <c r="O123" i="1"/>
  <c r="O112" i="1"/>
  <c r="O113" i="1"/>
  <c r="O114" i="1"/>
  <c r="O115" i="1"/>
  <c r="O116" i="1"/>
  <c r="O117" i="1"/>
  <c r="O118" i="1"/>
  <c r="O119" i="1"/>
  <c r="O120" i="1"/>
  <c r="O109" i="1"/>
  <c r="O110" i="1"/>
  <c r="O111" i="1"/>
  <c r="O102" i="1"/>
  <c r="O103" i="1"/>
  <c r="O104" i="1"/>
  <c r="O105" i="1"/>
  <c r="O106" i="1"/>
  <c r="O107" i="1"/>
  <c r="O100" i="1"/>
  <c r="O94" i="1"/>
  <c r="O95" i="1"/>
  <c r="O87" i="1"/>
  <c r="O80" i="1"/>
  <c r="O81" i="1"/>
  <c r="O82" i="1"/>
  <c r="O75" i="1"/>
  <c r="O67" i="1"/>
  <c r="O68" i="1"/>
  <c r="O69" i="1"/>
  <c r="O70" i="1"/>
  <c r="O71" i="1"/>
  <c r="O72" i="1"/>
  <c r="O73" i="1"/>
  <c r="O63" i="1"/>
  <c r="O64" i="1"/>
  <c r="O65" i="1"/>
  <c r="O60" i="1"/>
  <c r="O61" i="1"/>
  <c r="O52" i="1"/>
  <c r="O53" i="1"/>
  <c r="O54" i="1"/>
  <c r="O55" i="1"/>
  <c r="O56" i="1"/>
  <c r="O49" i="1"/>
  <c r="O50" i="1"/>
  <c r="O42" i="1"/>
  <c r="O43" i="1"/>
  <c r="O44" i="1"/>
  <c r="O45" i="1"/>
  <c r="O46" i="1"/>
  <c r="O47" i="1"/>
  <c r="O48" i="1"/>
  <c r="O40" i="1"/>
  <c r="O38" i="1"/>
  <c r="O34" i="1"/>
  <c r="O30" i="1"/>
  <c r="O31" i="1"/>
  <c r="O32" i="1"/>
  <c r="O25" i="1"/>
  <c r="O21" i="1"/>
  <c r="O22" i="1"/>
  <c r="O23" i="1"/>
  <c r="O153" i="1"/>
  <c r="O155" i="1"/>
  <c r="O16" i="1"/>
  <c r="O17" i="1"/>
  <c r="O18" i="1"/>
  <c r="O19" i="1"/>
  <c r="O11" i="1"/>
  <c r="O12" i="1"/>
  <c r="O13" i="1"/>
  <c r="O14" i="1"/>
  <c r="O15" i="1"/>
  <c r="O8" i="1"/>
  <c r="O7" i="1"/>
  <c r="O5" i="1"/>
  <c r="O3" i="1"/>
  <c r="O4" i="1"/>
  <c r="O6" i="1"/>
  <c r="O10" i="1"/>
  <c r="O20" i="1"/>
  <c r="O24" i="1"/>
  <c r="O26" i="1"/>
  <c r="O28" i="1"/>
  <c r="O29" i="1"/>
  <c r="O33" i="1"/>
  <c r="O36" i="1"/>
  <c r="O37" i="1"/>
  <c r="O39" i="1"/>
  <c r="O41" i="1"/>
  <c r="O51" i="1"/>
  <c r="O57" i="1"/>
  <c r="O59" i="1"/>
  <c r="O62" i="1"/>
  <c r="O66" i="1"/>
  <c r="O74" i="1"/>
  <c r="O76" i="1"/>
  <c r="O77" i="1"/>
  <c r="O79" i="1"/>
  <c r="O83" i="1"/>
  <c r="O84" i="1"/>
  <c r="O85" i="1"/>
  <c r="O86" i="1"/>
  <c r="O88" i="1"/>
  <c r="O92" i="1"/>
  <c r="O93" i="1"/>
  <c r="O96" i="1"/>
  <c r="O99" i="1"/>
  <c r="O101" i="1"/>
  <c r="O108" i="1"/>
  <c r="O121" i="1"/>
  <c r="O124" i="1"/>
  <c r="O132" i="1"/>
  <c r="O137" i="1"/>
  <c r="O140" i="1"/>
  <c r="O142" i="1"/>
  <c r="O146" i="1"/>
  <c r="O158" i="1"/>
  <c r="O161" i="1"/>
  <c r="O170" i="1"/>
  <c r="O172" i="1"/>
  <c r="O176" i="1"/>
  <c r="O179" i="1"/>
  <c r="O185" i="1"/>
  <c r="O187" i="1"/>
  <c r="O189" i="1"/>
  <c r="O193" i="1"/>
  <c r="O195" i="1"/>
  <c r="O197" i="1"/>
  <c r="O200" i="1"/>
  <c r="O201" i="1"/>
  <c r="O2" i="1"/>
</calcChain>
</file>

<file path=xl/sharedStrings.xml><?xml version="1.0" encoding="utf-8"?>
<sst xmlns="http://schemas.openxmlformats.org/spreadsheetml/2006/main" count="1006" uniqueCount="547">
  <si>
    <t>General Notes</t>
  </si>
  <si>
    <t>Year</t>
  </si>
  <si>
    <t>DOI</t>
  </si>
  <si>
    <t>Authors</t>
  </si>
  <si>
    <t>Title</t>
  </si>
  <si>
    <t>Journal</t>
  </si>
  <si>
    <t>Measure number</t>
  </si>
  <si>
    <t>Measure name</t>
  </si>
  <si>
    <t>Measure notes</t>
  </si>
  <si>
    <t>category</t>
  </si>
  <si>
    <t>example</t>
  </si>
  <si>
    <t>Self-report of subjective experience</t>
  </si>
  <si>
    <t>Self-reported fear of spiders</t>
  </si>
  <si>
    <t>Self-report of ability</t>
  </si>
  <si>
    <t>Self-reported intelligence, self-reported empathic perspective taking ability</t>
  </si>
  <si>
    <t>Self-reported social media use</t>
  </si>
  <si>
    <t>Self-report of physiology</t>
  </si>
  <si>
    <t>Subjective experience test</t>
  </si>
  <si>
    <t>Visual search test for synesthesia</t>
  </si>
  <si>
    <t>Cognitive ability test</t>
  </si>
  <si>
    <t>Behavioral test</t>
  </si>
  <si>
    <t>Stimulus equivalence test</t>
  </si>
  <si>
    <t>Physiology test</t>
  </si>
  <si>
    <t>Beighton Score to assess joint hypermobility syndrome</t>
  </si>
  <si>
    <t>Implicit racial bias</t>
  </si>
  <si>
    <t>Iowa Gambling Task</t>
  </si>
  <si>
    <t>Social media use via digital trace data, observational coding</t>
  </si>
  <si>
    <t>Behavioral measure of physiology</t>
  </si>
  <si>
    <t>Gait variability to measure the integrity of CNS timing and motor control systems</t>
  </si>
  <si>
    <t>Neuro/bio/physiological measure of subjective experience</t>
  </si>
  <si>
    <t>GSR as a measure of fear</t>
  </si>
  <si>
    <t>Neuro/bio/physiological measure of ability</t>
  </si>
  <si>
    <t>Cognitive Control Capacity measured via fMRI</t>
  </si>
  <si>
    <t>Neuro/bio/physiological measure of behavior</t>
  </si>
  <si>
    <t>Neuro/bio/physiological measure of neuro/bio/physiology</t>
  </si>
  <si>
    <t>Structural MRI, Salivatory immunoassays to measure menstrual cycle phase</t>
  </si>
  <si>
    <t>Behavioral measure of subjective experience</t>
  </si>
  <si>
    <t>Behavioral measure of ability</t>
  </si>
  <si>
    <t>Self-report of behavior</t>
  </si>
  <si>
    <t>Behavioral measure of behavior</t>
  </si>
  <si>
    <t>Mental rotation test, N-back task</t>
  </si>
  <si>
    <t>EKG to measure sleep duration, urinalysis to measure drug consumption</t>
  </si>
  <si>
    <t>Self-reported height, weight, amygdala activation, or heart rate (HBCT)</t>
  </si>
  <si>
    <t>How it is measured</t>
  </si>
  <si>
    <t>What is measured</t>
  </si>
  <si>
    <t>Neuro/bio/physiological measure</t>
  </si>
  <si>
    <t>Self-report or other report</t>
  </si>
  <si>
    <t>Test (has correct answers)</t>
  </si>
  <si>
    <t>Behavioral measure (non-self-report; captures frequency, duration or latency of overt behaviors)</t>
  </si>
  <si>
    <t>Mental ability or cognitive process</t>
  </si>
  <si>
    <t>Neuro/bio/physiology</t>
  </si>
  <si>
    <t>Behavior (specific overt behaviors)</t>
  </si>
  <si>
    <t>Subjective experience (mental content, often self-perceived)</t>
  </si>
  <si>
    <t>Boolean</t>
  </si>
  <si>
    <t>Indeterminable</t>
  </si>
  <si>
    <t>how-what alignment</t>
  </si>
  <si>
    <t>Alignment</t>
  </si>
  <si>
    <t>aligned</t>
  </si>
  <si>
    <t>MISALIGNED</t>
  </si>
  <si>
    <t>old</t>
  </si>
  <si>
    <t xml:space="preserve">Test </t>
  </si>
  <si>
    <t>Self report</t>
  </si>
  <si>
    <t>Neuro/bio/physiological</t>
  </si>
  <si>
    <t>Behavioral (frequency, duration, latency)</t>
  </si>
  <si>
    <t>Subjective experience</t>
  </si>
  <si>
    <t>Behavior</t>
  </si>
  <si>
    <t>Article per journal</t>
  </si>
  <si>
    <t>Study number</t>
  </si>
  <si>
    <t>Out of time</t>
  </si>
  <si>
    <t>Used recent technology (only for 'what'=behavior)</t>
  </si>
  <si>
    <t>Used as DV 
(only for 'what'=behavior)</t>
  </si>
  <si>
    <t>URL</t>
  </si>
  <si>
    <t>Citations</t>
  </si>
  <si>
    <t>10.1016/j.brat.2022.104101</t>
  </si>
  <si>
    <t>Hornstein; Eisenberger</t>
  </si>
  <si>
    <t>Exploring the effect of loneliness on fear: Implications for the effect of COVID-19-induced social disconnection on anxiety</t>
  </si>
  <si>
    <t>Behaviour Research and Therapy</t>
  </si>
  <si>
    <t>https://doi.org/10.1016/j.brat.2022.104101</t>
  </si>
  <si>
    <t>10.1016/j.brat.2023.104456</t>
  </si>
  <si>
    <t>Burger; Andikkhash; Jäger; Anderbro; Blanken; Klintwall</t>
  </si>
  <si>
    <t>A novel approach for constructing personalized networks from longitudinal perceived causal relations</t>
  </si>
  <si>
    <t>https://doi.org/10.1016/j.brat.2023.104456</t>
  </si>
  <si>
    <t>10.1111/cdev.13157</t>
  </si>
  <si>
    <t>Elenbaas</t>
  </si>
  <si>
    <t>Interwealth Contact and Young Children's Concern for Equity</t>
  </si>
  <si>
    <t>Child Development</t>
  </si>
  <si>
    <t>https://doi.org/10.1111/cdev.13157</t>
  </si>
  <si>
    <t>10.1111/j.1467-8624.2012.01817.x</t>
  </si>
  <si>
    <t>Bascoe; Davies; Cummings</t>
  </si>
  <si>
    <t>Beyond Warmth and Conflict: The Developmental Utility of a Boundary Conceptualization of Sibling Relationship Processes</t>
  </si>
  <si>
    <t>https://doi.org/10.1111/j.1467-8624.2012.01817.x</t>
  </si>
  <si>
    <t>10.1177/2167702613484717</t>
  </si>
  <si>
    <t>Schueller; Pérez-Stable; Muñoz</t>
  </si>
  <si>
    <t>A Mood Management Intervention in an Internet Stop Smoking Randomized Controlled Trial Does Not Prevent Depression</t>
  </si>
  <si>
    <t>Clinical Psychological Science</t>
  </si>
  <si>
    <t>https://doi.org/10.1177/2167702613484717</t>
  </si>
  <si>
    <t>10.1177/2167702614553026</t>
  </si>
  <si>
    <t>Lane; Sher</t>
  </si>
  <si>
    <t>Limits of Current Approaches to Diagnosis Severity Based on Criterion Counts</t>
  </si>
  <si>
    <t>https://doi.org/10.1177/2167702614553026</t>
  </si>
  <si>
    <t>10.1016/j.cognition.2013.01.010</t>
  </si>
  <si>
    <t>Wagner; Dobkins; Barner</t>
  </si>
  <si>
    <t>Slow mapping: Color word learning as a gradual inductive process</t>
  </si>
  <si>
    <t>Cognition</t>
  </si>
  <si>
    <t>https://doi.org/10.1016/j.cognition.2013.01.010</t>
  </si>
  <si>
    <t>Collabra: Psychology</t>
  </si>
  <si>
    <t>10.1525/collabra.117083</t>
  </si>
  <si>
    <t>Folk; Yu; Dunn</t>
  </si>
  <si>
    <t>Can Chatbots Ever Provide More Social Connection Than Humans?</t>
  </si>
  <si>
    <t>https://doi.org/10.1525/collabra.117083</t>
  </si>
  <si>
    <t>10.1037/dev0000712</t>
  </si>
  <si>
    <t>Brod; Shing</t>
  </si>
  <si>
    <t>A boon and a bane: Comparing the effects of prior knowledge on memory across the lifespan.</t>
  </si>
  <si>
    <t>Developmental Psychology</t>
  </si>
  <si>
    <t>https://doi.org/10.1037/dev0000712</t>
  </si>
  <si>
    <t>10.1037/dev0000374</t>
  </si>
  <si>
    <t>Becht; Nelemans; Branje; Vollebergh; Koot; Meeus</t>
  </si>
  <si>
    <t>Identity uncertainty and commitment making across adolescence: Five-year within-person associations using daily identity reports.</t>
  </si>
  <si>
    <t>https://doi.org/10.1037/dev0000374</t>
  </si>
  <si>
    <t>10.1037/emo0000021</t>
  </si>
  <si>
    <t>Tamir; Bigman; Rhodes; Salerno; Schreier</t>
  </si>
  <si>
    <t>An expectancy-value model of emotion regulation: Implications for motivation, emotional experience, and decision making.</t>
  </si>
  <si>
    <t>Emotion</t>
  </si>
  <si>
    <t>https://doi.org/10.1037/emo0000021</t>
  </si>
  <si>
    <t>10.1037/emo0001057</t>
  </si>
  <si>
    <t>Lee; Lim; Lee</t>
  </si>
  <si>
    <t>Sharing joy increases joy: Group membership modulates emotional perception of facial expressions.</t>
  </si>
  <si>
    <t>https://doi.org/10.1037/emo0001057</t>
  </si>
  <si>
    <t>10.1037/0021-9010.92.5.1254</t>
  </si>
  <si>
    <t>Miner-Rubino; Cortina</t>
  </si>
  <si>
    <t>Beyond targets: Consequences of vicarious exposure to misogyny at work.</t>
  </si>
  <si>
    <t>Journal of Applied Psychology</t>
  </si>
  <si>
    <t>https://doi.org/10.1037/0021-9010.92.5.1254</t>
  </si>
  <si>
    <t>10.1037/apl0000471</t>
  </si>
  <si>
    <t>Aw; Ilies; De Pater</t>
  </si>
  <si>
    <t>Dispositional empathy, emotional display authenticity, and employee outcomes.</t>
  </si>
  <si>
    <t>https://doi.org/10.1037/apl0000471</t>
  </si>
  <si>
    <t>10.1080/15374416.2023.2222405</t>
  </si>
  <si>
    <t>Hogue; MacLean; Bobek; Dunnsue; Porter; Jensen-Doss; Henderson</t>
  </si>
  <si>
    <t>Training Community Therapists in Core Elements of CBT and Family Therapy for Adolescent Externalizing Problems</t>
  </si>
  <si>
    <t>Journal of Clinical Child and Adolescent Psychology</t>
  </si>
  <si>
    <t>https://doi.org/10.1080/15374416.2023.2222405</t>
  </si>
  <si>
    <t>10.1080/15374416.2012.654464</t>
  </si>
  <si>
    <t>Fabiano; Pelham; Cunningham; Yu; Gangloff; Buck; Linke; Gormley; Gera</t>
  </si>
  <si>
    <t>A Waitlist-Controlled Trial of Behavioral Parent Training for Fathers of Children with ADHD</t>
  </si>
  <si>
    <t>https://doi.org/10.1080/15374416.2012.654464</t>
  </si>
  <si>
    <t>10.1037/a0035536</t>
  </si>
  <si>
    <t>Sergeant; Mongrain</t>
  </si>
  <si>
    <t>An online optimism intervention reduces depression in pessimistic individuals.</t>
  </si>
  <si>
    <t>Journal of Consulting and Clinical Psychology</t>
  </si>
  <si>
    <t>https://doi.org/10.1037/a0035536</t>
  </si>
  <si>
    <t>10.1037/a0028032</t>
  </si>
  <si>
    <t>Meuret; Seidel; Rosenfield; Hofmann; Rosenfield</t>
  </si>
  <si>
    <t>Does fear reactivity during exposure predict panic symptom reduction?</t>
  </si>
  <si>
    <t>https://doi.org/10.1037/a0028032</t>
  </si>
  <si>
    <t>10.1016/j.jecp.2014.11.001</t>
  </si>
  <si>
    <t>Nayar; Franchak; Adolph; Kiorpes</t>
  </si>
  <si>
    <t>From local to global processing: The development of illusory contour perception</t>
  </si>
  <si>
    <t>Journal of Experimental Child Psychology</t>
  </si>
  <si>
    <t>https://doi.org/10.1016/j.jecp.2014.11.001</t>
  </si>
  <si>
    <t>10.1016/j.jecp.2012.06.008</t>
  </si>
  <si>
    <t>Blake; Ganea; Harris</t>
  </si>
  <si>
    <t>Possession is not always the law: With age, preschoolers increasingly use verbal information to identify who owns what</t>
  </si>
  <si>
    <t>https://doi.org/10.1016/j.jecp.2012.06.008</t>
  </si>
  <si>
    <t>10.1037/xap0000518</t>
  </si>
  <si>
    <t>Patel; Yang; Steyvers; Benjamin</t>
  </si>
  <si>
    <t>The metacognition of vigilance: Using self-scheduled breaks to improve sustained attention.</t>
  </si>
  <si>
    <t>Journal of Experimental Psychology: Applied</t>
  </si>
  <si>
    <t>https://doi.org/10.1037/xap0000518</t>
  </si>
  <si>
    <t>10.1037/xap0000451</t>
  </si>
  <si>
    <t>Inbar; Waldhof</t>
  </si>
  <si>
    <t>Mitigating consequence insensitivity for genetically engineered crops.</t>
  </si>
  <si>
    <t>https://doi.org/10.1037/xap0000451</t>
  </si>
  <si>
    <t>10.1037/xge0000128</t>
  </si>
  <si>
    <t>Fawcett; Lawrence; Taylor</t>
  </si>
  <si>
    <t>The representational consequences of intentional forgetting: Impairments to both the probability and fidelity of long-term memory.</t>
  </si>
  <si>
    <t>Journal of Experimental Psychology: General</t>
  </si>
  <si>
    <t>https://doi.org/10.1037/xge0000128</t>
  </si>
  <si>
    <t>10.1037/xge0000706</t>
  </si>
  <si>
    <t>Scheerer; Jacobson; Jones</t>
  </si>
  <si>
    <t>Sensorimotor control of vocal production in early childhood.</t>
  </si>
  <si>
    <t>https://doi.org/10.1037/xge0000706</t>
  </si>
  <si>
    <t>10.1037/xhp0000628</t>
  </si>
  <si>
    <t>Searston; Thompson; Vokey; French; Tangen</t>
  </si>
  <si>
    <t>How low can you go? Detecting style in extremely low resolution images.</t>
  </si>
  <si>
    <t>Journal of Experimental Psychology: Human Perception and Performance</t>
  </si>
  <si>
    <t>https://doi.org/10.1037/xhp0000628</t>
  </si>
  <si>
    <t>10.1037/xhp0000339</t>
  </si>
  <si>
    <t>Livingstone; Christie; Wright; McDonald</t>
  </si>
  <si>
    <t>Signal enhancement, not active suppression, follows the contingent capture of visual attention.</t>
  </si>
  <si>
    <t>https://doi.org/10.1037/xhp0000339</t>
  </si>
  <si>
    <t>Journal of Experimental Psychology: Learning, Memory, and Cognition</t>
  </si>
  <si>
    <t>10.1037/xlm0000805</t>
  </si>
  <si>
    <t>Jesse</t>
  </si>
  <si>
    <t>Sentence context guides phonetic retuning to speaker idiosyncrasies.</t>
  </si>
  <si>
    <t>https://doi.org/10.1037/xlm0000805</t>
  </si>
  <si>
    <t>10.1016/j.jesp.2010.11.005</t>
  </si>
  <si>
    <t>Forgas</t>
  </si>
  <si>
    <t>Can negative affect eliminate the power of first impressions? Affective influences on primacy and recency effects in impression formation</t>
  </si>
  <si>
    <t>Journal of Experimental Social Psychology</t>
  </si>
  <si>
    <t>http+B153:G153s://doi.org/10.1016/j.jesp.2010.11.005</t>
  </si>
  <si>
    <t>10.1016/j.jesp.2022.104375</t>
  </si>
  <si>
    <t>Fernández; Gaviria; Halperin; Agudo; González-Puerto; Chas-Villar; Saguy</t>
  </si>
  <si>
    <t>The protective effect of agency on victims of humiliation</t>
  </si>
  <si>
    <t>https://doi.org/10.1016/j.jesp.2022.104375</t>
  </si>
  <si>
    <t>10.1016/j.jml.2022.104374</t>
  </si>
  <si>
    <t>Kumarage; Donnelly; Kidd</t>
  </si>
  <si>
    <t>Implicit learning of structure across time: A longitudinal investigation of syntactic priming in young English-acquiring children</t>
  </si>
  <si>
    <t>Journal of Memory and Language</t>
  </si>
  <si>
    <t>https://doi.org/10.1016/j.jml.2022.104374</t>
  </si>
  <si>
    <t>10.1016/j.jml.2009.11.004</t>
  </si>
  <si>
    <t>Zimmerman; Kelley</t>
  </si>
  <si>
    <t>“I’ll remember this!” Effects of emotionality on memory predictions versus memory performance</t>
  </si>
  <si>
    <t>https://doi.org/10.1016/j.jml.2009.11.004</t>
  </si>
  <si>
    <t>10.1002/job.1917</t>
  </si>
  <si>
    <t>Lyons; Wessel; Ghumman; Ryan; Kim</t>
  </si>
  <si>
    <t>Applying models of employee identity management across cultures: Christianity in the USA and South Korea</t>
  </si>
  <si>
    <t>Journal of Organizational Behavior</t>
  </si>
  <si>
    <t>https://doi.org/10.1002/job.1917</t>
  </si>
  <si>
    <t>10.1002/job.2500</t>
  </si>
  <si>
    <t>Hora; Lemoine; Xu; Shalley</t>
  </si>
  <si>
    <t>Unlocking and closing the gender gap in creative performance: A multilevel model</t>
  </si>
  <si>
    <t>https://doi.org/10.1002/job.2500</t>
  </si>
  <si>
    <t>10.1037/pspp0000198</t>
  </si>
  <si>
    <t>Buttrick; Choi; Wilson; Oishi; Boker; Gilbert; Alper; Aveyard; Cheong; Čolić; Dalgar; Doğulu; Karabati; Kim; Knežević; Komiya; Laclé; Ambrosio Lage; Lazarević; Lazarević; Lins; Blanco Molina; Neto; Orlić; Petrović; Arroyo Sibaja; Torres Fernández; Vanpaemel; Voorspoels; Wilks</t>
  </si>
  <si>
    <t>Cross-cultural consistency and relativity in the enjoyment of thinking versus doing.</t>
  </si>
  <si>
    <t>Journal of Personality and Social Psychology</t>
  </si>
  <si>
    <t>https://doi.org/10.1037/pspp0000198</t>
  </si>
  <si>
    <t>10.1037/a0032703</t>
  </si>
  <si>
    <t>Lee; Gregg; Park</t>
  </si>
  <si>
    <t>The person in the purchase: Narcissistic consumers prefer products that positively distinguish them.</t>
  </si>
  <si>
    <t>https://doi.org/10.1037/a0032703</t>
  </si>
  <si>
    <t>10.1007/s10862-007-9047-z</t>
  </si>
  <si>
    <t>Mitchell; Zvolensky; Marshall; Bonn-Miller; Vujanovic</t>
  </si>
  <si>
    <t>Incremental Validity of Coping-oriented Marijuana Use Motives in the Prediction of Affect-based Psychological Vulnerability</t>
  </si>
  <si>
    <t>Journal of Psychopathology and Behavioral Assessment</t>
  </si>
  <si>
    <t>https://doi.org/10.1007/s10862-007-9047-z</t>
  </si>
  <si>
    <t>10.1007/s10862-018-9677-3</t>
  </si>
  <si>
    <t>Ros; Gregg; Hart; Graziano</t>
  </si>
  <si>
    <t>The Association between Self-Regulation and Symptoms of Autism Spectrum Disorder in Preschoolers with Externalizing Behavior Problems</t>
  </si>
  <si>
    <t>https://doi.org/10.1007/s10862-018-9677-3</t>
  </si>
  <si>
    <t>10.1016/j.jrp.2024.104466</t>
  </si>
  <si>
    <t>Junkins; Pantin; Derringer</t>
  </si>
  <si>
    <t>Personality across diverse sexual orientations and gender identities in an online convenience sample</t>
  </si>
  <si>
    <t>Journal of Research in Personality</t>
  </si>
  <si>
    <t>https://doi.org/10.1016/j.jrp.2024.104466</t>
  </si>
  <si>
    <t>10.1016/j.jrp.2010.01.007</t>
  </si>
  <si>
    <t>Egberink; Meijer; Veldkamp</t>
  </si>
  <si>
    <t>Conscientiousness in the workplace: Applying mixture IRT to investigate scalability and predictive validity</t>
  </si>
  <si>
    <t>https://doi.org/10.1016/j.jrp.2010.01.007</t>
  </si>
  <si>
    <t>10.1111/jora.12918</t>
  </si>
  <si>
    <t>Shi; Fan; Wang</t>
  </si>
  <si>
    <t>Scrutinizing parental minimization reactions to adolescents' negative emotions through the lens of Chinese culture</t>
  </si>
  <si>
    <t>Journal of Research on Adolescence</t>
  </si>
  <si>
    <t>https://doi.org/10.1111/jora.12918</t>
  </si>
  <si>
    <t>10.1111/jora.12844</t>
  </si>
  <si>
    <t>Kaufman; Lessard; Watson</t>
  </si>
  <si>
    <t>Heterogenous associations between Gender‐Sexuality Alliances and LGBTQ adolescents' maladjustment across individual victimization level</t>
  </si>
  <si>
    <t>https://doi.org/10.1111/jora.12844</t>
  </si>
  <si>
    <t>10.1038/s41562-021-01159-9</t>
  </si>
  <si>
    <t>Osiurak; Lasserre; Arbanti; Brogniart; Bluet; Navarro; Reynaud</t>
  </si>
  <si>
    <t>Technical reasoning is important for cumulative technological culture</t>
  </si>
  <si>
    <t>Nature Human Behaviour</t>
  </si>
  <si>
    <t>https://doi.org/10.1038/s41562-021-01159-9</t>
  </si>
  <si>
    <t>10.1038/s41562-024-01983-9</t>
  </si>
  <si>
    <t>Zheng; Yebra; Schjetnan; Patel; Katz; Kyzar; Mosher; Kalia; Chung; Reed; Valiante; Mamelak; Kreiman; Rutishauser</t>
  </si>
  <si>
    <t>Theta phase precession supports memory formation and retrieval of naturalistic experience in humans</t>
  </si>
  <si>
    <t>https://doi.org/10.1038/s41562-024-01983-9</t>
  </si>
  <si>
    <t>10.1016/j.obhdp.2006.11.002</t>
  </si>
  <si>
    <t>Branzei; Vertinsky; Camp</t>
  </si>
  <si>
    <t>Culture-contingent signs of trust in emergent relationships</t>
  </si>
  <si>
    <t>Organizational Behavior and Human Decision Processes</t>
  </si>
  <si>
    <t>https://doi.org/10.1016/j.obhdp.2006.11.002</t>
  </si>
  <si>
    <t>10.1016/j.obhdp.2006.04.009</t>
  </si>
  <si>
    <t>Bond; Carlson; Meloy; Russo; Tanner</t>
  </si>
  <si>
    <t>Information distortion in the evaluation of a single option</t>
  </si>
  <si>
    <t>https://doi.org/10.1016/j.obhdp.2006.04.009</t>
  </si>
  <si>
    <t>10.1177/01461672221099709</t>
  </si>
  <si>
    <t>Verkuyten; Adelman; Yogeeswaran</t>
  </si>
  <si>
    <t>Intolerance of Transgressive Protest Actions: The Differential Roles of Deontological and Utilitarian Morality</t>
  </si>
  <si>
    <t>Personality and Social Psychology Bulletin</t>
  </si>
  <si>
    <t>https://doi.org/10.1177/01461672221099709</t>
  </si>
  <si>
    <t>10.1177/0146167207310022</t>
  </si>
  <si>
    <t>Ford; Boxer; Armstrong; Edel</t>
  </si>
  <si>
    <t>More Than “Just a Joke”: The Prejudice-Releasing Function of Sexist Humor</t>
  </si>
  <si>
    <t>https://doi.org/10.1177/0146167207310022</t>
  </si>
  <si>
    <t>10.1111/peps.12078</t>
  </si>
  <si>
    <t>Derous; Ryan; Serlie</t>
  </si>
  <si>
    <t>Double Jeopardy Upon Resumé Screening: When Achmed Is Less Employable Than Aïsha</t>
  </si>
  <si>
    <t>Personnel Psychology</t>
  </si>
  <si>
    <t>https://doi.org/10.1111/peps.12078</t>
  </si>
  <si>
    <t>10.1111/j.1744-6570.2010.01174.x</t>
  </si>
  <si>
    <t>RAMASWAMI; DREHER; BRETZ; WIETHOFF</t>
  </si>
  <si>
    <t>GENDER, MENTORING, AND CAREER SUCCESS: THE IMPORTANCE OF ORGANIZATIONAL CONTEXT</t>
  </si>
  <si>
    <t>https://doi.org/10.1111/j.1744-6570.2010.01174.x</t>
  </si>
  <si>
    <t>10.1177/09567976211048485</t>
  </si>
  <si>
    <t>Taylor; Hilchey; Weidler; Pratt</t>
  </si>
  <si>
    <t>Eliminating the Low-Prevalence Effect in Visual Search With a Remarkably Simple Strategy</t>
  </si>
  <si>
    <t>Psychological Science</t>
  </si>
  <si>
    <t>https://doi.org/10.1177/09567976211048485</t>
  </si>
  <si>
    <t>10.1111/j.1467-9280.2008.02063.x</t>
  </si>
  <si>
    <t>Krendl; Richeson; Kelley; Heatherton</t>
  </si>
  <si>
    <t>The Negative Consequences of Threat</t>
  </si>
  <si>
    <t>https://doi.org/10.1111/j.1467-9280.2008.02063.x</t>
  </si>
  <si>
    <t>10.1037/a0018199</t>
  </si>
  <si>
    <t>Noftle; Fleeson</t>
  </si>
  <si>
    <t>Age differences in big five behavior averages and variabilities across the adult life span: Moving beyond retrospective, global summary accounts of personality.</t>
  </si>
  <si>
    <t>Psychology and Aging</t>
  </si>
  <si>
    <t>https://doi.org/10.1037/a0018199</t>
  </si>
  <si>
    <t>10.1037/a0028504</t>
  </si>
  <si>
    <t>Thomas; Bonura; Taylor</t>
  </si>
  <si>
    <t>The influence of semantic relationships on older adult map memory.</t>
  </si>
  <si>
    <t>https://doi.org/10.1037/a0028504</t>
  </si>
  <si>
    <t>10.1371/journal.pone.0255013</t>
  </si>
  <si>
    <t>Lee; Juarez; Rae; Jones; Rodriguez; Davis; Boysen-Osborn; Kashima; Krane; Kman; Langsfeld; Harries</t>
  </si>
  <si>
    <t>Anxiety, PTSD, and stressors in medical students during the initial peak of the COVID-19 pandemic</t>
  </si>
  <si>
    <t>PLoS ONE</t>
  </si>
  <si>
    <t>https://doi.org/10.1371/journal.pone.0255013</t>
  </si>
  <si>
    <t>10.3758/mc.37.3.316</t>
  </si>
  <si>
    <t>Toppino; Fearnow-Kenney; Kiepert; Teremula</t>
  </si>
  <si>
    <t>The spacing effect in intentional and incidental free recall by children and adults: Limits on the automaticity hypothesis</t>
  </si>
  <si>
    <t>Memory and Cognition</t>
  </si>
  <si>
    <t>https://doi.org/10.3758/mc.37.3.316</t>
  </si>
  <si>
    <t>10.3758/s13421-018-0842-4</t>
  </si>
  <si>
    <t>Tullis</t>
  </si>
  <si>
    <t>Predicting others’ knowledge: Knowledge estimation as cue utilization</t>
  </si>
  <si>
    <t>https://doi.org/10.3758/s13421-018-0842-4</t>
  </si>
  <si>
    <t>Skin Conductance Response (SCR) Screening</t>
  </si>
  <si>
    <t>UCLA Loneliness Scale v3 (Russell, 1996)</t>
  </si>
  <si>
    <t>PHQ-9 (Kroenke et al., 2001)</t>
  </si>
  <si>
    <t>Total Anxiety scale from the Revised Child Manifest Anxiety Scale (RCMAS)</t>
  </si>
  <si>
    <t>Center for Epidemiological Studies Depression Scale (CES-D)</t>
  </si>
  <si>
    <t>Delinquent scales from the respective Teacher Report Form and Child Behavior Checklist instruments (Achenbach, 1991)</t>
  </si>
  <si>
    <t>Social Problems subscales of the TRF questionnaire</t>
  </si>
  <si>
    <t>Social Problems subscales of the CBCL questionnaire</t>
  </si>
  <si>
    <t>Emotional Symptoms subscale from the Self-Report Strengths and Difficulties Questionnaire (SDQ, Goodman, 2001)</t>
  </si>
  <si>
    <t>Subjective, behavioral and physiological items!</t>
  </si>
  <si>
    <t>MDE Screener (Muñoz, 1998)</t>
  </si>
  <si>
    <t>Center for Epidemiologic Studies Depression Scale (CESD; Radloff, 1977)</t>
  </si>
  <si>
    <t>Measure of overall health and wellbeing, constructed from the SF12-V2 physical and mental functioning scales</t>
  </si>
  <si>
    <t>Lifetime Axis I and Axis II Diagnoses</t>
  </si>
  <si>
    <t>Structured Interview</t>
  </si>
  <si>
    <t>Fish task</t>
  </si>
  <si>
    <t>Book task</t>
  </si>
  <si>
    <t>Does Inclusive Language Increase the Visibility of Women, or Does  It Simply Decrease the Visibility of Men? A Missing Piece of the  Inclusive Language Jigsaw</t>
  </si>
  <si>
    <t>10.1525/collabra.128470</t>
  </si>
  <si>
    <t>https://doi.org/10.1525/collabra.128470</t>
  </si>
  <si>
    <t>Sato; Gygax; Gabriel; Oakhill; Escasain</t>
  </si>
  <si>
    <t>Unnamed questionnaire: Estimating the distribution of women and men in occupations</t>
  </si>
  <si>
    <t>Utrecht-Management of Identity Commitments Scale (U-MICS; Klimstra et al., 2010); Single item</t>
  </si>
  <si>
    <t>Unnamed rating of concurrent emotions</t>
  </si>
  <si>
    <t>Unnamed rating of reading preference</t>
  </si>
  <si>
    <t>Unnamed emotional judgment task</t>
  </si>
  <si>
    <t>Unnamed win/loss judgment task</t>
  </si>
  <si>
    <t>Nine questions about perceptions of university policies and practices regarding harassment (Langhout et al., 2000)</t>
  </si>
  <si>
    <t>Anxiety and Depression subscales of the Brief Symptom Inventory (Derogatis &amp; Spencer, 1983)</t>
  </si>
  <si>
    <t>Three items from the Michigan Organizational Assessment Questionnaire</t>
  </si>
  <si>
    <t>Oldenburg Burnout Inventory (Demerouti, Bakker, Nachreiner, &amp; Schaufeli, 2001)</t>
  </si>
  <si>
    <t>Life Orientation Test (Scheier &amp; Carver, 1985)</t>
  </si>
  <si>
    <t>Workplace Incivility Scale, adapted (WIS; Cortina et al., 2001)</t>
  </si>
  <si>
    <t xml:space="preserve">Organizational affective commitment measure (Allen and Meyer, 1990) </t>
  </si>
  <si>
    <t>Challenge and hindrance stressors scale (Cavanaugh et al., 2000)</t>
  </si>
  <si>
    <t>Emotional display scales (Diefendorff et al., 2005)</t>
  </si>
  <si>
    <t>Dyadic Parent–Child Interaction Coding System II (DPICS–II; Eyberg, Bessmer, Newcomb, Edwards, &amp; Robinson, 1994)</t>
  </si>
  <si>
    <t>Therapy Attitude Inventory (TAI; Brestan, Jacobs, Rayfield, &amp; Eyberg, 1999)</t>
  </si>
  <si>
    <t>Child Behavior Inventory (ECBI; Eyberg &amp; Pincus, 1999)</t>
  </si>
  <si>
    <t>Centre for Epidemiological Studies Depression Scale (CES-D; Radloff, 1977)</t>
  </si>
  <si>
    <t>Dysfunctional Attitude Scale–14 (DAS-14; Mongrain &amp; Zuroff, 1989)</t>
  </si>
  <si>
    <t>Life Orientation Test–Revised (LOT-R; Scheier et al., 1994)</t>
  </si>
  <si>
    <t>Orientations to Happiness (OTH; Peterson, Park, &amp; Seligman, 2005)</t>
  </si>
  <si>
    <t>Panic Disorder Severity Scale (PDSS; Shear et al., 1997)</t>
  </si>
  <si>
    <t>Anxiety Sensitivity Index (ASI; Reiss, Peterson, Gursky, &amp; McNally, 1986)</t>
  </si>
  <si>
    <t>Body Sensations Questionnaire (BSQ; Chambless, Caputo, Bright, &amp; Gallagher, 1984)</t>
  </si>
  <si>
    <t>Mobility Inventory for Agoraphobia (MI–AAL; Chambless, Caputo, Jasin, Gracely, &amp; Williams, 1985)</t>
  </si>
  <si>
    <t>Anxiety Control Scale (ACS; Rapee, Craske, Brown, &amp; Barlow, 1996)</t>
  </si>
  <si>
    <t>Unnamed self-report exposure log for intensity of DSM–IV panic symptoms.</t>
  </si>
  <si>
    <t>Unnamed single-item scale for anxiety</t>
  </si>
  <si>
    <t>Semi-structured interview</t>
  </si>
  <si>
    <t>Looking and manual behaviors using a Positive Science head-mounted eye tracker</t>
  </si>
  <si>
    <t>Unnamed question + Likert scale regarding attitudes toward GE crops</t>
  </si>
  <si>
    <t>Unnamed consequence‐insensitivity beliefs items</t>
  </si>
  <si>
    <t>This could be split into multiple aspects but those are only derived, so I'm very unsure here</t>
  </si>
  <si>
    <t>Discrimination task</t>
  </si>
  <si>
    <t>Unsure</t>
  </si>
  <si>
    <t>Response times</t>
  </si>
  <si>
    <t>Judgment of learning scale</t>
  </si>
  <si>
    <t xml:space="preserve">Recall test </t>
  </si>
  <si>
    <t>Turnover intentions via three items (Cammann et al., 1983)</t>
  </si>
  <si>
    <t>Satisfaction with Life Scale (Diener, Emmons, Larsen, &amp; Griffin, 1985)</t>
  </si>
  <si>
    <t>Overall Job Satisfaction Scale (Cammann, Fichman, Jenkins, &amp; Klesh, 1983)</t>
  </si>
  <si>
    <t>Mood index likert scale</t>
  </si>
  <si>
    <t>10-Item Personality Inventory (Gosling, Rentfrow, &amp; Swann, 2003)</t>
  </si>
  <si>
    <t>Abbreviated three-item version of the Need for Cognition scale (Cacioppo &amp; Petty, 1982)</t>
  </si>
  <si>
    <t>Abbreviated three-item version of the Time Affluence scale (Kasser &amp; Sheldon, 2009)</t>
  </si>
  <si>
    <t>Abbreviated four-item version of the Locomotion scale (Kruglanski et al., 2000)</t>
  </si>
  <si>
    <t>Abbreviated three-item version of the Intrinsic Religiosity scale (Hoge, 1972)</t>
  </si>
  <si>
    <t>Unnamed likert scale regarding phone use (hours per day)</t>
  </si>
  <si>
    <t>Consumers’ Need for Uniqueness scale (CNFU; Tian, Bearden, &amp; Hunter, 2001)</t>
  </si>
  <si>
    <t>Rosenberg Self-Esteem Scale (RSES; Rosenberg, 1965)</t>
  </si>
  <si>
    <t>Marijuana Smoking History Questionnaire (MSHQ; Bonn-Miller and Zvolensky 2005)</t>
  </si>
  <si>
    <t>Marijuana Motives Measure (MMM; Simons et al. 1998)</t>
  </si>
  <si>
    <t>Smoking History Questionnaire (SHQ; Brown et al. 2002)</t>
  </si>
  <si>
    <t>Positive Affect Negative Affect Scale (PANAS; Watson et al. 1988)</t>
  </si>
  <si>
    <t>Mood and Anxiety Symptom Questionnaire (MASQ; Watson et al. 1995)</t>
  </si>
  <si>
    <t>Anxiety Sensitivity Index (ASI; Reiss et al. 1986)</t>
  </si>
  <si>
    <t>Agoraphobic Cognitions Questionnaire (ACQ; Chambless et al. 1984)</t>
  </si>
  <si>
    <t>Alcohol Assessment (AA; Zvolensky et al. 2006)</t>
  </si>
  <si>
    <t>Autism Spectrum Rating Scale-Short Form (ASRS; Goldstein and Naglieri 2009)</t>
  </si>
  <si>
    <t>Disruptive Behavior Disorder Rating Scale (DBD; Pelham et al. 1992)</t>
  </si>
  <si>
    <t>Automated Working Memory Assessment (AWMA; Alloway et al. 2004)</t>
  </si>
  <si>
    <t>Behavior Rating Inventory of Executive Functions-Preschool Version (BRIEF-P; Gioia et al. 2003)</t>
  </si>
  <si>
    <t>Emotion Regulation Checklist (ERC; Shields and Cicchetti 1997)</t>
  </si>
  <si>
    <t xml:space="preserve">Big Five Inventory-2  </t>
  </si>
  <si>
    <t>Reflector (Schakel et al., 2007)</t>
  </si>
  <si>
    <t>Workplace Big Five (WB5; Schakel, Smid, &amp; Jaganjac, 2007), Conscientiousness scale</t>
  </si>
  <si>
    <t xml:space="preserve">Perceived maternal reactions to adolescents' negative emotions </t>
  </si>
  <si>
    <t>Presence of a Gender-Sexuality Alliance (GSA)</t>
  </si>
  <si>
    <t>Victimization based on LGBTQ identities</t>
  </si>
  <si>
    <t>Kutcher Adolescent Depression Scale (Brooks et al., 2003), 10 items averaged</t>
  </si>
  <si>
    <t>Rosenberg Self-Esteem Scale (Rosenberg, 1965)</t>
  </si>
  <si>
    <t>Single item adapted from the Longitudinal Study of American Youth (Miller, 2021): “Which of the following best describes your grades?”</t>
  </si>
  <si>
    <t>Unnamed items: “How often have you been teased or treated badly by other students at your school because of your sexuality?” and “How often have you been teased or treated badly by other students at your school because of your gender?”</t>
  </si>
  <si>
    <t>Average of 5 items from the coping subscale of the Motivations to Eat Scale (Jackson et al., 2003)</t>
  </si>
  <si>
    <t>Participant's correctness/accuracy</t>
  </si>
  <si>
    <t>Time needed to answer</t>
  </si>
  <si>
    <t>Judgment of others' knowledge scale</t>
  </si>
  <si>
    <t>Behavioral intention: Two independent 7-point Likert-type questions</t>
  </si>
  <si>
    <t>Ability: Single item, 7-point Likert-type</t>
  </si>
  <si>
    <t>Integrity: Five-item scale, 7-point Likert-type</t>
  </si>
  <si>
    <t>Predictability: Two-item scale, 7-point Likert-type</t>
  </si>
  <si>
    <t>Benevolence: Four-item scale, 7-point Likert-type</t>
  </si>
  <si>
    <t>Perceived deterrence  Single item, 7-point Likert-type</t>
  </si>
  <si>
    <t>Unnamed likert scale: Value of prize</t>
  </si>
  <si>
    <t>Unnamed likert scale: Belief of winning chance</t>
  </si>
  <si>
    <t>Intolerance of protest actions likert scale</t>
  </si>
  <si>
    <t xml:space="preserve">Deontological and utilitarian moral predisposition </t>
  </si>
  <si>
    <t>Single-item likert scale: Perceived intentions</t>
  </si>
  <si>
    <t>Four-item measure of job suitability from Derous et al. (2009)</t>
  </si>
  <si>
    <t>Four items from the Modern Racism Scale (McConahay, Hardee, &amp; Batts, 1981) and adapted for Arab descent (MRSA; Derous et al., 2009)</t>
  </si>
  <si>
    <t>Impression Management Scale of the Balanced Inventory of Desirable Responding (BIDR; Paulhus, 1991)</t>
  </si>
  <si>
    <t>Arab-IAT for ethnic prejudice against Arabs</t>
  </si>
  <si>
    <t>Gender-roles IAT for sexism</t>
  </si>
  <si>
    <t>Existence of a mentor relationship</t>
  </si>
  <si>
    <t xml:space="preserve">Career progress satisfaction, five-item measure (Greenhaus, Parasuraman, and Wormley, 1990) </t>
  </si>
  <si>
    <t>Target-present/target-absent search</t>
  </si>
  <si>
    <t>Similarity search</t>
  </si>
  <si>
    <t>Math Task Performance</t>
  </si>
  <si>
    <t>Daily behavior reports</t>
  </si>
  <si>
    <t>Big Five questionnaires (Extraversion, Conscientiousness, and Openness)</t>
  </si>
  <si>
    <t xml:space="preserve">Landmark free-recall test </t>
  </si>
  <si>
    <t>Estimation of distances between landmark pairs</t>
  </si>
  <si>
    <t>Generalized Anxiety Disorder-7 (GAD-7)</t>
  </si>
  <si>
    <t>Primary Care PTSD Screen DSM-5 (PC-PTSD-5)</t>
  </si>
  <si>
    <t>Free response questions were excluded (qualitative)</t>
  </si>
  <si>
    <t>Speed of wheel</t>
  </si>
  <si>
    <t>Electrophysiological recordings</t>
  </si>
  <si>
    <t>MacArthur-Bates Communicative Development Inventories (Donnelly &amp; Kidd, 2021)</t>
  </si>
  <si>
    <t>Words and Sentences form (Fenson et al., 2007)</t>
  </si>
  <si>
    <t>Verb matching "task"</t>
  </si>
  <si>
    <t>Cloze probability</t>
  </si>
  <si>
    <t>Percentage of [s] responses</t>
  </si>
  <si>
    <t>Inventory of Therapy Techniques (ITT; Hogue et al., 2014, 2015)</t>
  </si>
  <si>
    <t>Inventory of Therapy Techniques: Observational Version (ITT-O)</t>
  </si>
  <si>
    <t>Breaks taken</t>
  </si>
  <si>
    <t>Unnamed Task: "Resource Allocation"</t>
  </si>
  <si>
    <t>Reasoning About Resource Allocation</t>
  </si>
  <si>
    <t>fMRI</t>
  </si>
  <si>
    <t xml:space="preserve">Performance </t>
  </si>
  <si>
    <t>Prediction accuracy test</t>
  </si>
  <si>
    <t>Daily assessments of L-PECAN (Klintwall et al., 2023)</t>
  </si>
  <si>
    <t>Unnamed questions: "Wealth Preference and Perceptions"</t>
  </si>
  <si>
    <t>Unnamed questions: "Inter and Intra-wealth Contact"</t>
  </si>
  <si>
    <t>Conduct Problems subscale of the SDQ</t>
  </si>
  <si>
    <t>Website utilization</t>
  </si>
  <si>
    <t>AUD Criteria (Alcohol Use Disorder and Associated Disabilities Interview Schedule-IV; Grant et al., 2003)</t>
  </si>
  <si>
    <t>Drinking behavior (Dawson et al., 2005)</t>
  </si>
  <si>
    <t>Social connection single-item (created for this study)</t>
  </si>
  <si>
    <t>Positive affect SPANE (Diener et al., 2009)</t>
  </si>
  <si>
    <t>Feelings about experience (created for this study)</t>
  </si>
  <si>
    <t>Perceived Agency (Epley et al., 2008)</t>
  </si>
  <si>
    <t>Memory test</t>
  </si>
  <si>
    <t>Congruency judgement test</t>
  </si>
  <si>
    <t>Three items adapted from the Sexual Experiences Questionnaire (SEQ; Fitzgerald et al., 1988)</t>
  </si>
  <si>
    <t>Physical well-being: assessed with three items adapted from work by Pennebaker (1982)</t>
  </si>
  <si>
    <t>Job withdrawal (measured with Porter et al. (1976) two-item measure)</t>
  </si>
  <si>
    <t>Empathic Concern and Perspective Taking (subscales from the Interpersonal Reactivity Index; Davis, 1980)</t>
  </si>
  <si>
    <t>Job satisfaction scale (Brayfield &amp; Rothe, 1951)</t>
  </si>
  <si>
    <t>Absenteeism: Number of days employees called in sick</t>
  </si>
  <si>
    <t>Portable, battery-run capnometry device to collect  Cardiorespiratory data</t>
  </si>
  <si>
    <t>Accuracy of responses in shape task</t>
  </si>
  <si>
    <t>Measure of accuracy in responding to questions (‘‘Whose ball is it?’’ and ‘‘Who can keep the ball?’’)</t>
  </si>
  <si>
    <t>Vigilance task (Helton &amp; Russell, 2013).</t>
  </si>
  <si>
    <t>Four moral conviction items, adapted from Skitka et al. (2005)</t>
  </si>
  <si>
    <t>Belief Probes (one of four: Open-Ended Reflection; Risk and Benefits; Counterexamples; Hiden Consequentialism)</t>
  </si>
  <si>
    <t>Old-New Recognition Accuracy</t>
  </si>
  <si>
    <t>(F0 values) Acoustic measures of pitch control and feedback response</t>
  </si>
  <si>
    <t>EEG</t>
  </si>
  <si>
    <t>Social Judgement Task</t>
  </si>
  <si>
    <t>Unnamed likert scale: Internalization of the devaluation</t>
  </si>
  <si>
    <t>Unnamed likert scale: Unfairness Appraisal</t>
  </si>
  <si>
    <t>Unnamed likert scale: Felt Emotions</t>
  </si>
  <si>
    <t>Six items adapted from the Cultural Congruity Scale (Gloria &amp; Robinson-Kurpius, 1996)</t>
  </si>
  <si>
    <t>Perceived risks of disclosing beliefs (adapted from Ragins et al., 2007)</t>
  </si>
  <si>
    <t>Five items from the Multidimensional Inventory of Black Identity (Sellers, Rowley, Chavous, Shelton, &amp; Smith, 1997)</t>
  </si>
  <si>
    <t>Adapted items from Button’s (2004) identity management inventory to fit religion</t>
  </si>
  <si>
    <t>Psychological Safety (Team psychological safety; Edmondson, 1999)</t>
  </si>
  <si>
    <t xml:space="preserve">Creative Self-Efficiancy (CSE; tierney &amp; Farmer, 2002) </t>
  </si>
  <si>
    <t>Scale for measuring creative performance (Oldham &amp; Cummings, 1996)</t>
  </si>
  <si>
    <t>Sleep duration (likert scale, single-item)</t>
  </si>
  <si>
    <t xml:space="preserve">Different questions, such as how enjoyable, entertaining, boring the Period had been. Whether they found their mind wandering, how hard it was to concentrate. </t>
  </si>
  <si>
    <t>Narcissistic Personality Inventory (NPI; Raskin &amp; Terry, 1988)</t>
  </si>
  <si>
    <t>Sexual Orientation Inventory (ESOI)</t>
  </si>
  <si>
    <t>Unnamed Sexual and/or Gender Minority Label Question</t>
  </si>
  <si>
    <t>Perceived maternal autonomy support</t>
  </si>
  <si>
    <t>Perceived maternal psychological control</t>
  </si>
  <si>
    <t>CCNES- Adolescents Perception of Parents (Fabes &amp; Eisenberg, 1998): 6 subscales</t>
  </si>
  <si>
    <t>Free recall performance</t>
  </si>
  <si>
    <t>Analogous test score</t>
  </si>
  <si>
    <t>Transfer test score</t>
  </si>
  <si>
    <t>Scene recognition test</t>
  </si>
  <si>
    <t>Time discrimination test</t>
  </si>
  <si>
    <t>Hostile Sexism subscale of the Ambivalent Sexism Inventory (ASI; Glick and Fiske, 1996)</t>
  </si>
  <si>
    <t>Amount of money participants were willing to donate to the National Council of Women</t>
  </si>
  <si>
    <t xml:space="preserve">Questions to elicit students’ pandemic-related concerns drawn from a published survey studying the pandemic effects on Emergency Medicine physicians </t>
  </si>
  <si>
    <t>10.1016/j.cognition.2024.106051</t>
  </si>
  <si>
    <t>Finiasz; Shore; Xu; Kushnir</t>
  </si>
  <si>
    <t>Children's cost-benefit analysis about agents who act for the greater good</t>
  </si>
  <si>
    <t>https://doi.org/10.1016/j.cognition.2024.106051</t>
  </si>
  <si>
    <t>10.1037/xlm0000994</t>
  </si>
  <si>
    <t>Kreiner; Gamliel</t>
  </si>
  <si>
    <t>Framing fake news: Asymmetric attribute-framing bias for favorable and unfavorable outcomes.</t>
  </si>
  <si>
    <t>https://doi.org/10.1037/xlm0000994</t>
  </si>
  <si>
    <t>Three evaluation likert scales ("How would you describe this news item?", "How would you evaluate this news item?", "How would you regard this news item?")</t>
  </si>
  <si>
    <t>Estimation of true/fake news encounters</t>
  </si>
  <si>
    <t>Prediction Question (likert scale)</t>
  </si>
  <si>
    <t>Permissibility Judgment (likert scale)</t>
  </si>
  <si>
    <t>10.1371/journal.pone.0251670</t>
  </si>
  <si>
    <t>Simegn; Dagnew; Yeshaw; Yitayih; Woldegerima; Dagne</t>
  </si>
  <si>
    <t>Depression, anxiety, stress and their associated factors among Ethiopian University students during an early stage of COVID-19 pandemic: An online-based cross-sectional survey</t>
  </si>
  <si>
    <t>https://doi.org/10.1371/journal.pone.0251670</t>
  </si>
  <si>
    <t>Lovibond’s short version of the DASS-21 (Depression, Anxiety, and Stress Scale-21)</t>
  </si>
  <si>
    <t>Self-efficacy (single-item): "How confident are you that you can prevent getting COVID-19 in case of an outbreak?”</t>
  </si>
  <si>
    <t>Math/arts IAT Implicit Association Test (IAT; Greenwald, McGhee, &amp; Schwartz, 1998)</t>
  </si>
  <si>
    <t>Liberal/conservative IAT Implicit Association Test (IAT; Greenwald, McGhee, &amp; Schwartz, 1998)</t>
  </si>
  <si>
    <t>Utalitarian moral predisposition (based on Tanner et al., 2008)</t>
  </si>
  <si>
    <t>Modern Sexism Scale (Swim et al., 1995)</t>
  </si>
  <si>
    <t>Single-item likert scale: How humorous is this situation? and How offensive are the jokes/statements in this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</si>
</sst>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3F3F3F"/>
      <name val="Aptos Narrow"/>
      <family val="2"/>
      <scheme val="minor"/>
    </font>
    <font>
      <sz val="12"/>
      <color theme="1"/>
      <name val="Aptos Narrow"/>
      <family val="2"/>
      <scheme val="minor"/>
    </font>
    <font>
      <b/>
      <sz val="11"/>
      <color theme="1"/>
      <name val="Aptos Narrow"/>
      <scheme val="minor"/>
    </font>
    <font>
      <sz val="11"/>
      <color theme="3" tint="0.249977111117893"/>
      <name val="Aptos Narrow"/>
      <family val="2"/>
      <scheme val="minor"/>
    </font>
    <font>
      <u/>
      <sz val="11"/>
      <color theme="10"/>
      <name val="Aptos Narrow"/>
      <family val="2"/>
      <scheme val="minor"/>
    </font>
    <font>
      <sz val="11"/>
      <color theme="1"/>
      <name val="Arial"/>
      <family val="2"/>
    </font>
  </fonts>
  <fills count="9">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8CE"/>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 fillId="2" borderId="1" applyNumberFormat="0" applyAlignment="0" applyProtection="0"/>
    <xf numFmtId="0" fontId="2" fillId="0" borderId="0"/>
    <xf numFmtId="0" fontId="5" fillId="0" borderId="0" applyNumberFormat="0" applyFill="0" applyBorder="0" applyAlignment="0" applyProtection="0"/>
  </cellStyleXfs>
  <cellXfs count="19">
    <xf numFmtId="0" fontId="0" fillId="0" borderId="0" xfId="0"/>
    <xf numFmtId="0" fontId="1" fillId="2" borderId="1" xfId="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1" xfId="1" applyFill="1"/>
    <xf numFmtId="0" fontId="4" fillId="0" borderId="0" xfId="0" applyFont="1"/>
    <xf numFmtId="0" fontId="1" fillId="8" borderId="1" xfId="1" applyFill="1" applyAlignment="1">
      <alignment wrapText="1"/>
    </xf>
    <xf numFmtId="0" fontId="1" fillId="2" borderId="1" xfId="1" applyAlignment="1">
      <alignment wrapText="1"/>
    </xf>
    <xf numFmtId="0" fontId="0" fillId="0" borderId="0" xfId="0" applyAlignment="1">
      <alignment wrapText="1"/>
    </xf>
    <xf numFmtId="0" fontId="0" fillId="8" borderId="0" xfId="0" applyFill="1" applyAlignment="1">
      <alignment wrapText="1"/>
    </xf>
    <xf numFmtId="0" fontId="5" fillId="0" borderId="0" xfId="3" applyAlignment="1">
      <alignment wrapText="1"/>
    </xf>
    <xf numFmtId="0" fontId="0" fillId="4" borderId="0" xfId="0" applyFill="1" applyAlignment="1">
      <alignment wrapText="1"/>
    </xf>
    <xf numFmtId="0" fontId="6" fillId="0" borderId="0" xfId="0" applyFont="1" applyAlignment="1">
      <alignment wrapText="1"/>
    </xf>
    <xf numFmtId="0" fontId="0" fillId="0" borderId="0" xfId="0" applyFill="1"/>
  </cellXfs>
  <cellStyles count="4">
    <cellStyle name="Hyperlink" xfId="3" builtinId="8"/>
    <cellStyle name="Normal" xfId="0" builtinId="0"/>
    <cellStyle name="Normal 2" xfId="2" xr:uid="{AC836704-82D1-4EDD-BBFA-F13BDDDDAAAB}"/>
    <cellStyle name="Output" xfId="1" builtinId="21"/>
  </cellStyles>
  <dxfs count="3">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CA6AE"/>
      <color rgb="FFFFC8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77/2167702613484717" TargetMode="External"/><Relationship Id="rId2" Type="http://schemas.openxmlformats.org/officeDocument/2006/relationships/hyperlink" Target="https://doi.org/10.1111/j.1467-8624.2012.01817.x" TargetMode="External"/><Relationship Id="rId1" Type="http://schemas.openxmlformats.org/officeDocument/2006/relationships/hyperlink" Target="https://doi.org/10.1525/collabra.128470"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5048-43BB-465E-9010-D1CA4CD2285A}">
  <dimension ref="A1:R201"/>
  <sheetViews>
    <sheetView tabSelected="1" topLeftCell="I1" zoomScaleNormal="100" workbookViewId="0">
      <pane ySplit="1" topLeftCell="A168" activePane="bottomLeft" state="frozen"/>
      <selection activeCell="D1" sqref="D1"/>
      <selection pane="bottomLeft" activeCell="M177" sqref="M177"/>
    </sheetView>
  </sheetViews>
  <sheetFormatPr baseColWidth="10" defaultColWidth="22.6640625" defaultRowHeight="28.75" customHeight="1" x14ac:dyDescent="0.2"/>
  <cols>
    <col min="1" max="1" width="24.33203125" customWidth="1"/>
    <col min="2" max="2" width="35.83203125" customWidth="1"/>
    <col min="3" max="3" width="8.33203125" customWidth="1"/>
    <col min="4" max="4" width="49.33203125" style="13" customWidth="1"/>
    <col min="5" max="5" width="29.5" customWidth="1"/>
    <col min="6" max="6" width="22.6640625" style="13"/>
    <col min="12" max="12" width="44.1640625" customWidth="1"/>
    <col min="16" max="17" width="22.6640625" style="8"/>
  </cols>
  <sheetData>
    <row r="1" spans="1:18" s="1" customFormat="1" ht="28.75" customHeight="1" x14ac:dyDescent="0.2">
      <c r="A1" s="1" t="s">
        <v>2</v>
      </c>
      <c r="B1" s="1" t="s">
        <v>3</v>
      </c>
      <c r="C1" s="1" t="s">
        <v>1</v>
      </c>
      <c r="D1" s="12" t="s">
        <v>4</v>
      </c>
      <c r="E1" s="1" t="s">
        <v>5</v>
      </c>
      <c r="F1" s="12" t="s">
        <v>71</v>
      </c>
      <c r="G1" s="1" t="s">
        <v>72</v>
      </c>
      <c r="H1" s="1" t="s">
        <v>66</v>
      </c>
      <c r="I1" s="9" t="s">
        <v>67</v>
      </c>
      <c r="J1" s="1" t="s">
        <v>0</v>
      </c>
      <c r="K1" s="1" t="s">
        <v>6</v>
      </c>
      <c r="L1" s="9" t="s">
        <v>7</v>
      </c>
      <c r="M1" s="9" t="s">
        <v>43</v>
      </c>
      <c r="N1" s="9" t="s">
        <v>44</v>
      </c>
      <c r="O1" s="9" t="s">
        <v>55</v>
      </c>
      <c r="P1" s="11" t="s">
        <v>69</v>
      </c>
      <c r="Q1" s="11" t="s">
        <v>70</v>
      </c>
      <c r="R1" s="1" t="s">
        <v>8</v>
      </c>
    </row>
    <row r="2" spans="1:18" ht="28.75" customHeight="1" x14ac:dyDescent="0.2">
      <c r="A2" s="16" t="s">
        <v>73</v>
      </c>
      <c r="B2" s="13" t="s">
        <v>74</v>
      </c>
      <c r="C2" s="13">
        <v>2022</v>
      </c>
      <c r="D2" s="13" t="s">
        <v>75</v>
      </c>
      <c r="E2" s="13" t="s">
        <v>76</v>
      </c>
      <c r="F2" s="13" t="s">
        <v>77</v>
      </c>
      <c r="G2" s="13">
        <v>8</v>
      </c>
      <c r="H2" s="13">
        <v>1</v>
      </c>
      <c r="I2">
        <v>3</v>
      </c>
      <c r="K2">
        <v>1</v>
      </c>
      <c r="L2" t="s">
        <v>327</v>
      </c>
      <c r="M2" t="s">
        <v>62</v>
      </c>
      <c r="N2" t="s">
        <v>64</v>
      </c>
      <c r="O2" t="str">
        <f>IF(OR(AND(data!M2='categories 2'!A$2,data!N2='categories 2'!B$2),
       AND(data!M2='categories 2'!A$3,data!N2='categories 2'!B$3),
       AND(data!M2='categories 2'!A$4,data!N2='categories 2'!B$4),
       AND(data!M2='categories 2'!A$5,data!N2='categories 2'!B$5)), "aligned", "MISALIGNED")</f>
        <v>MISALIGNED</v>
      </c>
    </row>
    <row r="3" spans="1:18" ht="28.75" customHeight="1" x14ac:dyDescent="0.2">
      <c r="A3" s="16"/>
      <c r="B3" s="13"/>
      <c r="C3" s="13"/>
      <c r="E3" s="13"/>
      <c r="G3" s="13"/>
      <c r="H3" s="13"/>
      <c r="I3">
        <v>3</v>
      </c>
      <c r="K3">
        <v>2</v>
      </c>
      <c r="L3" t="s">
        <v>328</v>
      </c>
      <c r="M3" t="s">
        <v>61</v>
      </c>
      <c r="N3" t="s">
        <v>64</v>
      </c>
      <c r="O3" t="str">
        <f>IF(OR(AND(data!M3='categories 2'!A$2,data!N3='categories 2'!B$2),
       AND(data!M3='categories 2'!A$3,data!N3='categories 2'!B$3),
       AND(data!M3='categories 2'!A$4,data!N3='categories 2'!B$4),
       AND(data!M3='categories 2'!A$5,data!N3='categories 2'!B$5)), "aligned", "MISALIGNED")</f>
        <v>aligned</v>
      </c>
    </row>
    <row r="4" spans="1:18" ht="28.75" customHeight="1" x14ac:dyDescent="0.2">
      <c r="A4" s="16" t="s">
        <v>78</v>
      </c>
      <c r="B4" s="13" t="s">
        <v>79</v>
      </c>
      <c r="C4" s="13">
        <v>2024</v>
      </c>
      <c r="D4" s="13" t="s">
        <v>80</v>
      </c>
      <c r="E4" s="13" t="s">
        <v>76</v>
      </c>
      <c r="F4" s="13" t="s">
        <v>81</v>
      </c>
      <c r="G4" s="13">
        <v>3</v>
      </c>
      <c r="H4" s="13">
        <v>2</v>
      </c>
      <c r="I4">
        <v>1</v>
      </c>
      <c r="K4">
        <v>1</v>
      </c>
      <c r="L4" t="s">
        <v>329</v>
      </c>
      <c r="M4" t="s">
        <v>61</v>
      </c>
      <c r="N4" t="s">
        <v>64</v>
      </c>
      <c r="O4" t="str">
        <f>IF(OR(AND(data!M4='categories 2'!A$2,data!N4='categories 2'!B$2),
       AND(data!M4='categories 2'!A$3,data!N4='categories 2'!B$3),
       AND(data!M4='categories 2'!A$4,data!N4='categories 2'!B$4),
       AND(data!M4='categories 2'!A$5,data!N4='categories 2'!B$5)), "aligned", "MISALIGNED")</f>
        <v>aligned</v>
      </c>
    </row>
    <row r="5" spans="1:18" ht="28.75" customHeight="1" x14ac:dyDescent="0.2">
      <c r="A5" s="16"/>
      <c r="B5" s="13"/>
      <c r="C5" s="13"/>
      <c r="E5" s="13"/>
      <c r="G5" s="13"/>
      <c r="H5" s="13"/>
      <c r="I5">
        <v>1</v>
      </c>
      <c r="K5">
        <v>2</v>
      </c>
      <c r="L5" s="13" t="s">
        <v>469</v>
      </c>
      <c r="M5" t="s">
        <v>61</v>
      </c>
      <c r="N5" t="s">
        <v>54</v>
      </c>
      <c r="O5" t="str">
        <f>IF(OR(AND(data!M5='categories 2'!A$2,data!N5='categories 2'!B$2),
       AND(data!M5='categories 2'!A$3,data!N5='categories 2'!B$3),
       AND(data!M5='categories 2'!A$4,data!N5='categories 2'!B$4),
       AND(data!M5='categories 2'!A$5,data!N5='categories 2'!B$5)), "aligned", "MISALIGNED")</f>
        <v>MISALIGNED</v>
      </c>
    </row>
    <row r="6" spans="1:18" ht="28.75" customHeight="1" x14ac:dyDescent="0.2">
      <c r="A6" s="16" t="s">
        <v>82</v>
      </c>
      <c r="B6" s="13" t="s">
        <v>83</v>
      </c>
      <c r="C6" s="13">
        <v>2019</v>
      </c>
      <c r="D6" s="13" t="s">
        <v>84</v>
      </c>
      <c r="E6" s="13" t="s">
        <v>85</v>
      </c>
      <c r="F6" s="13" t="s">
        <v>86</v>
      </c>
      <c r="G6" s="13">
        <v>17</v>
      </c>
      <c r="H6" s="13">
        <v>1</v>
      </c>
      <c r="I6">
        <v>1</v>
      </c>
      <c r="K6">
        <v>1</v>
      </c>
      <c r="L6" t="s">
        <v>470</v>
      </c>
      <c r="M6" t="s">
        <v>61</v>
      </c>
      <c r="N6" t="s">
        <v>64</v>
      </c>
      <c r="O6" t="str">
        <f>IF(OR(AND(data!M6='categories 2'!A$2,data!N6='categories 2'!B$2),
       AND(data!M6='categories 2'!A$3,data!N6='categories 2'!B$3),
       AND(data!M6='categories 2'!A$4,data!N6='categories 2'!B$4),
       AND(data!M6='categories 2'!A$5,data!N6='categories 2'!B$5)), "aligned", "MISALIGNED")</f>
        <v>aligned</v>
      </c>
    </row>
    <row r="7" spans="1:18" ht="28.75" customHeight="1" x14ac:dyDescent="0.2">
      <c r="A7" s="16"/>
      <c r="B7" s="13"/>
      <c r="C7" s="13"/>
      <c r="E7" s="13"/>
      <c r="G7" s="13"/>
      <c r="H7" s="13"/>
      <c r="I7">
        <v>1</v>
      </c>
      <c r="K7">
        <v>2</v>
      </c>
      <c r="L7" t="s">
        <v>464</v>
      </c>
      <c r="M7" t="s">
        <v>63</v>
      </c>
      <c r="N7" t="s">
        <v>65</v>
      </c>
      <c r="O7" t="str">
        <f>IF(OR(AND(data!M7='categories 2'!A$2,data!N7='categories 2'!B$2),
       AND(data!M7='categories 2'!A$3,data!N7='categories 2'!B$3),
       AND(data!M7='categories 2'!A$4,data!N7='categories 2'!B$4),
       AND(data!M7='categories 2'!A$5,data!N7='categories 2'!B$5)), "aligned", "MISALIGNED")</f>
        <v>aligned</v>
      </c>
      <c r="P7" s="8" t="b">
        <v>0</v>
      </c>
      <c r="Q7" s="8" t="s">
        <v>68</v>
      </c>
    </row>
    <row r="8" spans="1:18" ht="28.75" customHeight="1" x14ac:dyDescent="0.2">
      <c r="A8" s="16"/>
      <c r="B8" s="13"/>
      <c r="C8" s="13"/>
      <c r="E8" s="13"/>
      <c r="G8" s="13"/>
      <c r="H8" s="13"/>
      <c r="I8">
        <v>1</v>
      </c>
      <c r="K8">
        <v>3</v>
      </c>
      <c r="L8" t="s">
        <v>465</v>
      </c>
      <c r="M8" t="s">
        <v>61</v>
      </c>
      <c r="N8" t="s">
        <v>64</v>
      </c>
      <c r="O8" t="str">
        <f>IF(OR(AND(data!M8='categories 2'!A$2,data!N8='categories 2'!B$2),
       AND(data!M8='categories 2'!A$3,data!N8='categories 2'!B$3),
       AND(data!M8='categories 2'!A$4,data!N8='categories 2'!B$4),
       AND(data!M8='categories 2'!A$5,data!N8='categories 2'!B$5)), "aligned", "MISALIGNED")</f>
        <v>aligned</v>
      </c>
    </row>
    <row r="9" spans="1:18" ht="28.75" customHeight="1" x14ac:dyDescent="0.2">
      <c r="A9" s="16"/>
      <c r="B9" s="13"/>
      <c r="C9" s="13"/>
      <c r="E9" s="13"/>
      <c r="G9" s="13"/>
      <c r="H9" s="13"/>
      <c r="I9">
        <v>1</v>
      </c>
      <c r="K9">
        <v>4</v>
      </c>
      <c r="L9" s="13" t="s">
        <v>471</v>
      </c>
      <c r="M9" t="s">
        <v>61</v>
      </c>
      <c r="N9" t="s">
        <v>54</v>
      </c>
      <c r="O9" t="str">
        <f>IF(OR(AND(data!M9='categories 2'!A$2,data!N9='categories 2'!B$2),
       AND(data!M9='categories 2'!A$3,data!N9='categories 2'!B$3),
       AND(data!M9='categories 2'!A$4,data!N9='categories 2'!B$4),
       AND(data!M9='categories 2'!A$5,data!N9='categories 2'!B$5)), "aligned", "MISALIGNED")</f>
        <v>MISALIGNED</v>
      </c>
    </row>
    <row r="10" spans="1:18" ht="28.75" customHeight="1" x14ac:dyDescent="0.2">
      <c r="A10" s="16" t="s">
        <v>87</v>
      </c>
      <c r="B10" s="13" t="s">
        <v>88</v>
      </c>
      <c r="C10" s="13">
        <v>2012</v>
      </c>
      <c r="D10" s="13" t="s">
        <v>89</v>
      </c>
      <c r="E10" s="13" t="s">
        <v>85</v>
      </c>
      <c r="F10" s="15" t="s">
        <v>90</v>
      </c>
      <c r="G10" s="13">
        <v>17</v>
      </c>
      <c r="H10" s="13">
        <v>2</v>
      </c>
      <c r="I10">
        <v>1</v>
      </c>
      <c r="K10">
        <v>1</v>
      </c>
      <c r="L10" t="s">
        <v>335</v>
      </c>
      <c r="M10" t="s">
        <v>61</v>
      </c>
      <c r="N10" t="s">
        <v>64</v>
      </c>
      <c r="O10" t="str">
        <f>IF(OR(AND(data!M10='categories 2'!A$2,data!N10='categories 2'!B$2),
       AND(data!M10='categories 2'!A$3,data!N10='categories 2'!B$3),
       AND(data!M10='categories 2'!A$4,data!N10='categories 2'!B$4),
       AND(data!M10='categories 2'!A$5,data!N10='categories 2'!B$5)), "aligned", "MISALIGNED")</f>
        <v>aligned</v>
      </c>
    </row>
    <row r="11" spans="1:18" ht="28.75" customHeight="1" x14ac:dyDescent="0.2">
      <c r="A11" s="16"/>
      <c r="B11" s="13"/>
      <c r="C11" s="13"/>
      <c r="E11" s="13"/>
      <c r="G11" s="13"/>
      <c r="H11" s="13"/>
      <c r="I11">
        <v>1</v>
      </c>
      <c r="J11" t="s">
        <v>336</v>
      </c>
      <c r="K11">
        <v>2</v>
      </c>
      <c r="L11" t="s">
        <v>330</v>
      </c>
      <c r="M11" t="s">
        <v>61</v>
      </c>
      <c r="N11" t="s">
        <v>50</v>
      </c>
      <c r="O11" t="str">
        <f>IF(OR(AND(data!M11='categories 2'!A$2,data!N11='categories 2'!B$2),
       AND(data!M11='categories 2'!A$3,data!N11='categories 2'!B$3),
       AND(data!M11='categories 2'!A$4,data!N11='categories 2'!B$4),
       AND(data!M11='categories 2'!A$5,data!N11='categories 2'!B$5)), "aligned", "MISALIGNED")</f>
        <v>MISALIGNED</v>
      </c>
    </row>
    <row r="12" spans="1:18" ht="28.75" customHeight="1" x14ac:dyDescent="0.2">
      <c r="A12" s="16"/>
      <c r="B12" s="13"/>
      <c r="C12" s="13"/>
      <c r="E12" s="13"/>
      <c r="G12" s="13"/>
      <c r="H12" s="13"/>
      <c r="I12">
        <v>1</v>
      </c>
      <c r="K12">
        <v>3</v>
      </c>
      <c r="L12" t="s">
        <v>331</v>
      </c>
      <c r="M12" t="s">
        <v>61</v>
      </c>
      <c r="N12" t="s">
        <v>65</v>
      </c>
      <c r="O12" t="str">
        <f>IF(OR(AND(data!M12='categories 2'!A$2,data!N12='categories 2'!B$2),
       AND(data!M12='categories 2'!A$3,data!N12='categories 2'!B$3),
       AND(data!M12='categories 2'!A$4,data!N12='categories 2'!B$4),
       AND(data!M12='categories 2'!A$5,data!N12='categories 2'!B$5)), "aligned", "MISALIGNED")</f>
        <v>MISALIGNED</v>
      </c>
      <c r="P12" s="8" t="b">
        <v>0</v>
      </c>
      <c r="Q12" s="8" t="b">
        <v>1</v>
      </c>
    </row>
    <row r="13" spans="1:18" ht="28.75" customHeight="1" x14ac:dyDescent="0.2">
      <c r="A13" s="16"/>
      <c r="B13" s="13"/>
      <c r="C13" s="13"/>
      <c r="E13" s="13"/>
      <c r="G13" s="13"/>
      <c r="H13" s="13"/>
      <c r="I13">
        <v>1</v>
      </c>
      <c r="K13">
        <v>4</v>
      </c>
      <c r="L13" t="s">
        <v>332</v>
      </c>
      <c r="M13" t="s">
        <v>61</v>
      </c>
      <c r="N13" t="s">
        <v>65</v>
      </c>
      <c r="O13" t="str">
        <f>IF(OR(AND(data!M13='categories 2'!A$2,data!N13='categories 2'!B$2),
       AND(data!M13='categories 2'!A$3,data!N13='categories 2'!B$3),
       AND(data!M13='categories 2'!A$4,data!N13='categories 2'!B$4),
       AND(data!M13='categories 2'!A$5,data!N13='categories 2'!B$5)), "aligned", "MISALIGNED")</f>
        <v>MISALIGNED</v>
      </c>
      <c r="P13" s="8" t="b">
        <v>0</v>
      </c>
      <c r="Q13" s="8" t="b">
        <v>1</v>
      </c>
    </row>
    <row r="14" spans="1:18" ht="28.75" customHeight="1" x14ac:dyDescent="0.2">
      <c r="A14" s="16"/>
      <c r="B14" s="13"/>
      <c r="C14" s="13"/>
      <c r="E14" s="13"/>
      <c r="G14" s="13"/>
      <c r="H14" s="13"/>
      <c r="I14">
        <v>1</v>
      </c>
      <c r="K14">
        <v>5</v>
      </c>
      <c r="L14" t="s">
        <v>472</v>
      </c>
      <c r="M14" t="s">
        <v>61</v>
      </c>
      <c r="N14" t="s">
        <v>65</v>
      </c>
      <c r="O14" t="str">
        <f>IF(OR(AND(data!M14='categories 2'!A$2,data!N14='categories 2'!B$2),
       AND(data!M14='categories 2'!A$3,data!N14='categories 2'!B$3),
       AND(data!M14='categories 2'!A$4,data!N14='categories 2'!B$4),
       AND(data!M14='categories 2'!A$5,data!N14='categories 2'!B$5)), "aligned", "MISALIGNED")</f>
        <v>MISALIGNED</v>
      </c>
      <c r="P14" s="8" t="b">
        <v>0</v>
      </c>
      <c r="Q14" s="8" t="b">
        <v>1</v>
      </c>
    </row>
    <row r="15" spans="1:18" ht="28.75" customHeight="1" x14ac:dyDescent="0.2">
      <c r="A15" s="16"/>
      <c r="B15" s="13"/>
      <c r="C15" s="13"/>
      <c r="E15" s="13"/>
      <c r="G15" s="13"/>
      <c r="H15" s="13"/>
      <c r="I15">
        <v>1</v>
      </c>
      <c r="K15">
        <v>6</v>
      </c>
      <c r="L15" t="s">
        <v>334</v>
      </c>
      <c r="M15" t="s">
        <v>61</v>
      </c>
      <c r="N15" t="s">
        <v>65</v>
      </c>
      <c r="O15" t="str">
        <f>IF(OR(AND(data!M15='categories 2'!A$2,data!N15='categories 2'!B$2),
       AND(data!M15='categories 2'!A$3,data!N15='categories 2'!B$3),
       AND(data!M15='categories 2'!A$4,data!N15='categories 2'!B$4),
       AND(data!M15='categories 2'!A$5,data!N15='categories 2'!B$5)), "aligned", "MISALIGNED")</f>
        <v>MISALIGNED</v>
      </c>
      <c r="P15" s="8" t="s">
        <v>68</v>
      </c>
      <c r="Q15" s="8" t="s">
        <v>68</v>
      </c>
    </row>
    <row r="16" spans="1:18" ht="28.75" customHeight="1" x14ac:dyDescent="0.2">
      <c r="A16" s="16"/>
      <c r="B16" s="13"/>
      <c r="C16" s="13"/>
      <c r="E16" s="13"/>
      <c r="G16" s="13"/>
      <c r="H16" s="13"/>
      <c r="I16">
        <v>1</v>
      </c>
      <c r="K16">
        <v>7</v>
      </c>
      <c r="L16" t="s">
        <v>333</v>
      </c>
      <c r="M16" t="s">
        <v>61</v>
      </c>
      <c r="N16" t="s">
        <v>65</v>
      </c>
      <c r="O16" t="str">
        <f>IF(OR(AND(data!M16='categories 2'!A$2,data!N16='categories 2'!B$2),
       AND(data!M16='categories 2'!A$3,data!N16='categories 2'!B$3),
       AND(data!M16='categories 2'!A$4,data!N16='categories 2'!B$4),
       AND(data!M16='categories 2'!A$5,data!N16='categories 2'!B$5)), "aligned", "MISALIGNED")</f>
        <v>MISALIGNED</v>
      </c>
      <c r="P16" s="8" t="s">
        <v>68</v>
      </c>
      <c r="Q16" s="8" t="s">
        <v>68</v>
      </c>
    </row>
    <row r="17" spans="1:17" ht="28.75" customHeight="1" x14ac:dyDescent="0.2">
      <c r="A17" s="16" t="s">
        <v>91</v>
      </c>
      <c r="B17" s="13" t="s">
        <v>92</v>
      </c>
      <c r="C17" s="13">
        <v>2013</v>
      </c>
      <c r="D17" s="13" t="s">
        <v>93</v>
      </c>
      <c r="E17" s="13" t="s">
        <v>94</v>
      </c>
      <c r="F17" s="15" t="s">
        <v>95</v>
      </c>
      <c r="G17" s="13">
        <v>4</v>
      </c>
      <c r="H17" s="13">
        <v>1</v>
      </c>
      <c r="I17">
        <v>1</v>
      </c>
      <c r="K17">
        <v>1</v>
      </c>
      <c r="L17" t="s">
        <v>337</v>
      </c>
      <c r="M17" t="s">
        <v>61</v>
      </c>
      <c r="N17" t="s">
        <v>65</v>
      </c>
      <c r="O17" t="str">
        <f>IF(OR(AND(data!M17='categories 2'!A$2,data!N17='categories 2'!B$2),
       AND(data!M17='categories 2'!A$3,data!N17='categories 2'!B$3),
       AND(data!M17='categories 2'!A$4,data!N17='categories 2'!B$4),
       AND(data!M17='categories 2'!A$5,data!N17='categories 2'!B$5)), "aligned", "MISALIGNED")</f>
        <v>MISALIGNED</v>
      </c>
      <c r="P17" s="8" t="b">
        <v>0</v>
      </c>
      <c r="Q17" s="8" t="b">
        <v>1</v>
      </c>
    </row>
    <row r="18" spans="1:17" ht="28.75" customHeight="1" x14ac:dyDescent="0.2">
      <c r="A18" s="16"/>
      <c r="B18" s="13"/>
      <c r="C18" s="13"/>
      <c r="E18" s="13"/>
      <c r="G18" s="13"/>
      <c r="H18" s="13"/>
      <c r="I18">
        <v>1</v>
      </c>
      <c r="K18">
        <v>2</v>
      </c>
      <c r="L18" t="s">
        <v>338</v>
      </c>
      <c r="M18" t="s">
        <v>61</v>
      </c>
      <c r="N18" t="s">
        <v>65</v>
      </c>
      <c r="O18" t="str">
        <f>IF(OR(AND(data!M18='categories 2'!A$2,data!N18='categories 2'!B$2),
       AND(data!M18='categories 2'!A$3,data!N18='categories 2'!B$3),
       AND(data!M18='categories 2'!A$4,data!N18='categories 2'!B$4),
       AND(data!M18='categories 2'!A$5,data!N18='categories 2'!B$5)), "aligned", "MISALIGNED")</f>
        <v>MISALIGNED</v>
      </c>
      <c r="P18" s="8" t="b">
        <v>0</v>
      </c>
      <c r="Q18" s="8" t="b">
        <v>1</v>
      </c>
    </row>
    <row r="19" spans="1:17" ht="28.75" customHeight="1" x14ac:dyDescent="0.2">
      <c r="A19" s="16"/>
      <c r="B19" s="13"/>
      <c r="C19" s="13"/>
      <c r="E19" s="13"/>
      <c r="G19" s="13"/>
      <c r="H19" s="13"/>
      <c r="I19">
        <v>1</v>
      </c>
      <c r="K19">
        <v>3</v>
      </c>
      <c r="L19" t="s">
        <v>473</v>
      </c>
      <c r="M19" t="s">
        <v>63</v>
      </c>
      <c r="N19" t="s">
        <v>65</v>
      </c>
      <c r="O19" t="str">
        <f>IF(OR(AND(data!M19='categories 2'!A$2,data!N19='categories 2'!B$2),
       AND(data!M19='categories 2'!A$3,data!N19='categories 2'!B$3),
       AND(data!M19='categories 2'!A$4,data!N19='categories 2'!B$4),
       AND(data!M19='categories 2'!A$5,data!N19='categories 2'!B$5)), "aligned", "MISALIGNED")</f>
        <v>aligned</v>
      </c>
      <c r="P19" s="8" t="b">
        <v>1</v>
      </c>
      <c r="Q19" s="8" t="s">
        <v>68</v>
      </c>
    </row>
    <row r="20" spans="1:17" ht="28.75" customHeight="1" x14ac:dyDescent="0.2">
      <c r="A20" s="16" t="s">
        <v>96</v>
      </c>
      <c r="B20" s="13" t="s">
        <v>97</v>
      </c>
      <c r="C20" s="13">
        <v>2015</v>
      </c>
      <c r="D20" s="13" t="s">
        <v>98</v>
      </c>
      <c r="E20" s="13" t="s">
        <v>94</v>
      </c>
      <c r="F20" s="13" t="s">
        <v>99</v>
      </c>
      <c r="G20" s="13">
        <v>68</v>
      </c>
      <c r="H20" s="13">
        <v>2</v>
      </c>
      <c r="I20">
        <v>1</v>
      </c>
      <c r="J20" t="s">
        <v>341</v>
      </c>
      <c r="K20">
        <v>1</v>
      </c>
      <c r="L20" s="13" t="s">
        <v>474</v>
      </c>
      <c r="M20" t="s">
        <v>61</v>
      </c>
      <c r="N20" t="s">
        <v>65</v>
      </c>
      <c r="O20" t="str">
        <f>IF(OR(AND(data!M20='categories 2'!A$2,data!N20='categories 2'!B$2),
       AND(data!M20='categories 2'!A$3,data!N20='categories 2'!B$3),
       AND(data!M20='categories 2'!A$4,data!N20='categories 2'!B$4),
       AND(data!M20='categories 2'!A$5,data!N20='categories 2'!B$5)), "aligned", "MISALIGNED")</f>
        <v>MISALIGNED</v>
      </c>
      <c r="P20" s="8" t="b">
        <v>0</v>
      </c>
      <c r="Q20" s="8" t="b">
        <v>0</v>
      </c>
    </row>
    <row r="21" spans="1:17" ht="28.75" customHeight="1" x14ac:dyDescent="0.2">
      <c r="A21" s="16"/>
      <c r="B21" s="13"/>
      <c r="C21" s="13"/>
      <c r="E21" s="13"/>
      <c r="G21" s="13"/>
      <c r="H21" s="13"/>
      <c r="I21">
        <v>1</v>
      </c>
      <c r="K21">
        <v>2</v>
      </c>
      <c r="L21" s="13" t="s">
        <v>475</v>
      </c>
      <c r="M21" t="s">
        <v>61</v>
      </c>
      <c r="N21" t="s">
        <v>65</v>
      </c>
      <c r="O21" t="str">
        <f>IF(OR(AND(data!M21='categories 2'!A$2,data!N21='categories 2'!B$2),
       AND(data!M21='categories 2'!A$3,data!N21='categories 2'!B$3),
       AND(data!M21='categories 2'!A$4,data!N21='categories 2'!B$4),
       AND(data!M21='categories 2'!A$5,data!N21='categories 2'!B$5)), "aligned", "MISALIGNED")</f>
        <v>MISALIGNED</v>
      </c>
      <c r="P21" s="8" t="b">
        <v>0</v>
      </c>
      <c r="Q21" s="8" t="b">
        <v>1</v>
      </c>
    </row>
    <row r="22" spans="1:17" ht="28.75" customHeight="1" x14ac:dyDescent="0.2">
      <c r="A22" s="16"/>
      <c r="B22" s="13"/>
      <c r="C22" s="13"/>
      <c r="E22" s="13"/>
      <c r="G22" s="13"/>
      <c r="H22" s="13"/>
      <c r="I22">
        <v>1</v>
      </c>
      <c r="K22">
        <v>3</v>
      </c>
      <c r="L22" t="s">
        <v>339</v>
      </c>
      <c r="M22" t="s">
        <v>61</v>
      </c>
      <c r="N22" t="s">
        <v>50</v>
      </c>
      <c r="O22" t="str">
        <f>IF(OR(AND(data!M22='categories 2'!A$2,data!N22='categories 2'!B$2),
       AND(data!M22='categories 2'!A$3,data!N22='categories 2'!B$3),
       AND(data!M22='categories 2'!A$4,data!N22='categories 2'!B$4),
       AND(data!M22='categories 2'!A$5,data!N22='categories 2'!B$5)), "aligned", "MISALIGNED")</f>
        <v>MISALIGNED</v>
      </c>
    </row>
    <row r="23" spans="1:17" ht="28.75" customHeight="1" x14ac:dyDescent="0.2">
      <c r="A23" s="16"/>
      <c r="B23" s="13"/>
      <c r="C23" s="13"/>
      <c r="E23" s="13"/>
      <c r="G23" s="13"/>
      <c r="H23" s="13"/>
      <c r="I23">
        <v>1</v>
      </c>
      <c r="K23">
        <v>4</v>
      </c>
      <c r="L23" t="s">
        <v>340</v>
      </c>
      <c r="M23" t="s">
        <v>61</v>
      </c>
      <c r="N23" t="s">
        <v>54</v>
      </c>
      <c r="O23" t="str">
        <f>IF(OR(AND(data!M23='categories 2'!A$2,data!N23='categories 2'!B$2),
       AND(data!M23='categories 2'!A$3,data!N23='categories 2'!B$3),
       AND(data!M23='categories 2'!A$4,data!N23='categories 2'!B$4),
       AND(data!M23='categories 2'!A$5,data!N23='categories 2'!B$5)), "aligned", "MISALIGNED")</f>
        <v>MISALIGNED</v>
      </c>
    </row>
    <row r="24" spans="1:17" ht="28.75" customHeight="1" x14ac:dyDescent="0.2">
      <c r="A24" s="16" t="s">
        <v>100</v>
      </c>
      <c r="B24" s="13" t="s">
        <v>101</v>
      </c>
      <c r="C24" s="13">
        <v>2013</v>
      </c>
      <c r="D24" s="13" t="s">
        <v>102</v>
      </c>
      <c r="E24" s="13" t="s">
        <v>103</v>
      </c>
      <c r="F24" s="13" t="s">
        <v>104</v>
      </c>
      <c r="G24" s="13">
        <v>34</v>
      </c>
      <c r="H24" s="13">
        <v>1</v>
      </c>
      <c r="I24">
        <v>1</v>
      </c>
      <c r="K24">
        <v>1</v>
      </c>
      <c r="L24" t="s">
        <v>342</v>
      </c>
      <c r="M24" t="s">
        <v>63</v>
      </c>
      <c r="N24" t="s">
        <v>49</v>
      </c>
      <c r="O24" t="str">
        <f>IF(OR(AND(data!M24='categories 2'!A$2,data!N24='categories 2'!B$2),
       AND(data!M24='categories 2'!A$3,data!N24='categories 2'!B$3),
       AND(data!M24='categories 2'!A$4,data!N24='categories 2'!B$4),
       AND(data!M24='categories 2'!A$5,data!N24='categories 2'!B$5)), "aligned", "MISALIGNED")</f>
        <v>MISALIGNED</v>
      </c>
    </row>
    <row r="25" spans="1:17" ht="28.75" customHeight="1" x14ac:dyDescent="0.2">
      <c r="A25" s="16"/>
      <c r="B25" s="13"/>
      <c r="C25" s="13"/>
      <c r="E25" s="13"/>
      <c r="G25" s="13"/>
      <c r="H25" s="13"/>
      <c r="I25">
        <v>1</v>
      </c>
      <c r="K25">
        <v>2</v>
      </c>
      <c r="L25" t="s">
        <v>343</v>
      </c>
      <c r="M25" t="s">
        <v>63</v>
      </c>
      <c r="N25" t="s">
        <v>49</v>
      </c>
      <c r="O25" t="str">
        <f>IF(OR(AND(data!M25='categories 2'!A$2,data!N25='categories 2'!B$2),
       AND(data!M25='categories 2'!A$3,data!N25='categories 2'!B$3),
       AND(data!M25='categories 2'!A$4,data!N25='categories 2'!B$4),
       AND(data!M25='categories 2'!A$5,data!N25='categories 2'!B$5)), "aligned", "MISALIGNED")</f>
        <v>MISALIGNED</v>
      </c>
    </row>
    <row r="26" spans="1:17" ht="28.75" customHeight="1" x14ac:dyDescent="0.2">
      <c r="A26" s="4" t="s">
        <v>524</v>
      </c>
      <c r="B26" t="s">
        <v>525</v>
      </c>
      <c r="C26">
        <v>2025</v>
      </c>
      <c r="D26" t="s">
        <v>526</v>
      </c>
      <c r="E26" t="s">
        <v>103</v>
      </c>
      <c r="F26" t="s">
        <v>527</v>
      </c>
      <c r="G26">
        <v>0</v>
      </c>
      <c r="H26" s="13">
        <v>2</v>
      </c>
      <c r="I26">
        <v>2</v>
      </c>
      <c r="K26">
        <v>1</v>
      </c>
      <c r="L26" t="s">
        <v>534</v>
      </c>
      <c r="M26" t="s">
        <v>61</v>
      </c>
      <c r="N26" t="s">
        <v>64</v>
      </c>
      <c r="O26" t="str">
        <f>IF(OR(AND(data!M26='categories 2'!A$2,data!N26='categories 2'!B$2),
       AND(data!M26='categories 2'!A$3,data!N26='categories 2'!B$3),
       AND(data!M26='categories 2'!A$4,data!N26='categories 2'!B$4),
       AND(data!M26='categories 2'!A$5,data!N26='categories 2'!B$5)), "aligned", "MISALIGNED")</f>
        <v>aligned</v>
      </c>
    </row>
    <row r="27" spans="1:17" ht="28.75" customHeight="1" x14ac:dyDescent="0.2">
      <c r="A27" s="4"/>
      <c r="D27"/>
      <c r="F27"/>
      <c r="H27" s="13"/>
      <c r="I27">
        <v>2</v>
      </c>
      <c r="K27">
        <v>2</v>
      </c>
      <c r="L27" t="s">
        <v>535</v>
      </c>
      <c r="M27" t="s">
        <v>61</v>
      </c>
      <c r="N27" t="s">
        <v>64</v>
      </c>
      <c r="O27" t="str">
        <f>IF(OR(AND(data!M27='categories 2'!A$2,data!N27='categories 2'!B$2),
       AND(data!M27='categories 2'!A$3,data!N27='categories 2'!B$3),
       AND(data!M27='categories 2'!A$4,data!N27='categories 2'!B$4),
       AND(data!M27='categories 2'!A$5,data!N27='categories 2'!B$5)), "aligned", "MISALIGNED")</f>
        <v>aligned</v>
      </c>
    </row>
    <row r="28" spans="1:17" ht="28.75" customHeight="1" x14ac:dyDescent="0.2">
      <c r="A28" s="16" t="s">
        <v>345</v>
      </c>
      <c r="B28" s="13" t="s">
        <v>347</v>
      </c>
      <c r="C28" s="13">
        <v>2025</v>
      </c>
      <c r="D28" s="13" t="s">
        <v>344</v>
      </c>
      <c r="E28" s="13" t="s">
        <v>105</v>
      </c>
      <c r="F28" s="15" t="s">
        <v>346</v>
      </c>
      <c r="G28" s="13">
        <v>2</v>
      </c>
      <c r="H28" s="13">
        <v>1</v>
      </c>
      <c r="I28">
        <v>1</v>
      </c>
      <c r="K28">
        <v>1</v>
      </c>
      <c r="L28" t="s">
        <v>348</v>
      </c>
      <c r="M28" t="s">
        <v>61</v>
      </c>
      <c r="N28" t="s">
        <v>64</v>
      </c>
      <c r="O28" t="str">
        <f>IF(OR(AND(data!M28='categories 2'!A$2,data!N28='categories 2'!B$2),
       AND(data!M28='categories 2'!A$3,data!N28='categories 2'!B$3),
       AND(data!M28='categories 2'!A$4,data!N28='categories 2'!B$4),
       AND(data!M28='categories 2'!A$5,data!N28='categories 2'!B$5)), "aligned", "MISALIGNED")</f>
        <v>aligned</v>
      </c>
    </row>
    <row r="29" spans="1:17" ht="28.75" customHeight="1" x14ac:dyDescent="0.2">
      <c r="A29" s="16" t="s">
        <v>106</v>
      </c>
      <c r="B29" s="13" t="s">
        <v>107</v>
      </c>
      <c r="C29" s="13">
        <v>2024</v>
      </c>
      <c r="D29" s="13" t="s">
        <v>108</v>
      </c>
      <c r="E29" s="13" t="s">
        <v>105</v>
      </c>
      <c r="F29" s="13" t="s">
        <v>109</v>
      </c>
      <c r="G29" s="13">
        <v>0</v>
      </c>
      <c r="H29" s="13">
        <v>2</v>
      </c>
      <c r="I29">
        <v>2</v>
      </c>
      <c r="K29" s="13">
        <v>1</v>
      </c>
      <c r="L29" s="13" t="s">
        <v>476</v>
      </c>
      <c r="M29" t="s">
        <v>61</v>
      </c>
      <c r="N29" t="s">
        <v>64</v>
      </c>
      <c r="O29" t="str">
        <f>IF(OR(AND(data!M29='categories 2'!A$2,data!N29='categories 2'!B$2),
       AND(data!M29='categories 2'!A$3,data!N29='categories 2'!B$3),
       AND(data!M29='categories 2'!A$4,data!N29='categories 2'!B$4),
       AND(data!M29='categories 2'!A$5,data!N29='categories 2'!B$5)), "aligned", "MISALIGNED")</f>
        <v>aligned</v>
      </c>
    </row>
    <row r="30" spans="1:17" ht="28.75" customHeight="1" x14ac:dyDescent="0.2">
      <c r="A30" s="16"/>
      <c r="B30" s="13"/>
      <c r="C30" s="13"/>
      <c r="E30" s="13"/>
      <c r="G30" s="13"/>
      <c r="H30" s="13"/>
      <c r="I30">
        <v>2</v>
      </c>
      <c r="K30">
        <v>2</v>
      </c>
      <c r="L30" s="13" t="s">
        <v>477</v>
      </c>
      <c r="M30" t="s">
        <v>61</v>
      </c>
      <c r="N30" t="s">
        <v>64</v>
      </c>
      <c r="O30" t="str">
        <f>IF(OR(AND(data!M30='categories 2'!A$2,data!N30='categories 2'!B$2),
       AND(data!M30='categories 2'!A$3,data!N30='categories 2'!B$3),
       AND(data!M30='categories 2'!A$4,data!N30='categories 2'!B$4),
       AND(data!M30='categories 2'!A$5,data!N30='categories 2'!B$5)), "aligned", "MISALIGNED")</f>
        <v>aligned</v>
      </c>
    </row>
    <row r="31" spans="1:17" ht="28.75" customHeight="1" x14ac:dyDescent="0.2">
      <c r="A31" s="16"/>
      <c r="B31" s="13"/>
      <c r="C31" s="13"/>
      <c r="E31" s="13"/>
      <c r="G31" s="13"/>
      <c r="H31" s="13"/>
      <c r="I31">
        <v>2</v>
      </c>
      <c r="K31">
        <v>3</v>
      </c>
      <c r="L31" s="13" t="s">
        <v>478</v>
      </c>
      <c r="M31" t="s">
        <v>61</v>
      </c>
      <c r="N31" t="s">
        <v>64</v>
      </c>
      <c r="O31" t="str">
        <f>IF(OR(AND(data!M31='categories 2'!A$2,data!N31='categories 2'!B$2),
       AND(data!M31='categories 2'!A$3,data!N31='categories 2'!B$3),
       AND(data!M31='categories 2'!A$4,data!N31='categories 2'!B$4),
       AND(data!M31='categories 2'!A$5,data!N31='categories 2'!B$5)), "aligned", "MISALIGNED")</f>
        <v>aligned</v>
      </c>
    </row>
    <row r="32" spans="1:17" ht="28.75" customHeight="1" x14ac:dyDescent="0.2">
      <c r="A32" s="16"/>
      <c r="B32" s="13"/>
      <c r="C32" s="13"/>
      <c r="E32" s="13"/>
      <c r="G32" s="13"/>
      <c r="H32" s="13"/>
      <c r="I32">
        <v>2</v>
      </c>
      <c r="K32">
        <v>4</v>
      </c>
      <c r="L32" s="13" t="s">
        <v>479</v>
      </c>
      <c r="M32" t="s">
        <v>61</v>
      </c>
      <c r="N32" t="s">
        <v>64</v>
      </c>
      <c r="O32" t="str">
        <f>IF(OR(AND(data!M32='categories 2'!A$2,data!N32='categories 2'!B$2),
       AND(data!M32='categories 2'!A$3,data!N32='categories 2'!B$3),
       AND(data!M32='categories 2'!A$4,data!N32='categories 2'!B$4),
       AND(data!M32='categories 2'!A$5,data!N32='categories 2'!B$5)), "aligned", "MISALIGNED")</f>
        <v>aligned</v>
      </c>
    </row>
    <row r="33" spans="1:17" ht="28.75" customHeight="1" x14ac:dyDescent="0.2">
      <c r="A33" s="16" t="s">
        <v>110</v>
      </c>
      <c r="B33" s="13" t="s">
        <v>111</v>
      </c>
      <c r="C33" s="13">
        <v>2019</v>
      </c>
      <c r="D33" s="13" t="s">
        <v>112</v>
      </c>
      <c r="E33" s="13" t="s">
        <v>113</v>
      </c>
      <c r="F33" s="13" t="s">
        <v>114</v>
      </c>
      <c r="G33" s="13">
        <v>38</v>
      </c>
      <c r="H33" s="13">
        <v>1</v>
      </c>
      <c r="I33">
        <v>1</v>
      </c>
      <c r="K33">
        <v>1</v>
      </c>
      <c r="L33" s="13" t="s">
        <v>481</v>
      </c>
      <c r="M33" t="s">
        <v>60</v>
      </c>
      <c r="N33" t="s">
        <v>49</v>
      </c>
      <c r="O33" t="str">
        <f>IF(OR(AND(data!M33='categories 2'!A$2,data!N33='categories 2'!B$2),
       AND(data!M33='categories 2'!A$3,data!N33='categories 2'!B$3),
       AND(data!M33='categories 2'!A$4,data!N33='categories 2'!B$4),
       AND(data!M33='categories 2'!A$5,data!N33='categories 2'!B$5)), "aligned", "MISALIGNED")</f>
        <v>aligned</v>
      </c>
    </row>
    <row r="34" spans="1:17" ht="28.75" customHeight="1" x14ac:dyDescent="0.2">
      <c r="A34" s="16"/>
      <c r="B34" s="13"/>
      <c r="C34" s="13"/>
      <c r="E34" s="13"/>
      <c r="G34" s="13"/>
      <c r="H34" s="13"/>
      <c r="I34">
        <v>1</v>
      </c>
      <c r="K34">
        <v>2</v>
      </c>
      <c r="L34" s="13" t="s">
        <v>480</v>
      </c>
      <c r="M34" t="s">
        <v>60</v>
      </c>
      <c r="N34" t="s">
        <v>49</v>
      </c>
      <c r="O34" t="str">
        <f>IF(OR(AND(data!M34='categories 2'!A$2,data!N34='categories 2'!B$2),
       AND(data!M34='categories 2'!A$3,data!N34='categories 2'!B$3),
       AND(data!M34='categories 2'!A$4,data!N34='categories 2'!B$4),
       AND(data!M34='categories 2'!A$5,data!N34='categories 2'!B$5)), "aligned", "MISALIGNED")</f>
        <v>aligned</v>
      </c>
    </row>
    <row r="35" spans="1:17" ht="28.75" customHeight="1" x14ac:dyDescent="0.2">
      <c r="A35" s="16"/>
      <c r="B35" s="13"/>
      <c r="C35" s="13"/>
      <c r="E35" s="13"/>
      <c r="G35" s="13"/>
      <c r="H35" s="13"/>
      <c r="I35">
        <v>1</v>
      </c>
      <c r="K35">
        <v>3</v>
      </c>
      <c r="L35" t="s">
        <v>466</v>
      </c>
      <c r="M35" t="s">
        <v>62</v>
      </c>
      <c r="N35" t="s">
        <v>49</v>
      </c>
      <c r="O35" t="str">
        <f>IF(OR(AND(data!M35='categories 2'!A$2,data!N35='categories 2'!B$2),
       AND(data!M35='categories 2'!A$3,data!N35='categories 2'!B$3),
       AND(data!M35='categories 2'!A$4,data!N35='categories 2'!B$4),
       AND(data!M35='categories 2'!A$5,data!N35='categories 2'!B$5)), "aligned", "MISALIGNED")</f>
        <v>MISALIGNED</v>
      </c>
    </row>
    <row r="36" spans="1:17" ht="28.75" customHeight="1" x14ac:dyDescent="0.2">
      <c r="A36" s="16" t="s">
        <v>115</v>
      </c>
      <c r="B36" s="13" t="s">
        <v>116</v>
      </c>
      <c r="C36" s="13">
        <v>2017</v>
      </c>
      <c r="D36" s="13" t="s">
        <v>117</v>
      </c>
      <c r="E36" s="13" t="s">
        <v>113</v>
      </c>
      <c r="F36" s="13" t="s">
        <v>118</v>
      </c>
      <c r="G36" s="13">
        <v>37</v>
      </c>
      <c r="H36" s="13">
        <v>2</v>
      </c>
      <c r="I36">
        <v>1</v>
      </c>
      <c r="K36">
        <v>1</v>
      </c>
      <c r="L36" t="s">
        <v>349</v>
      </c>
      <c r="M36" t="s">
        <v>61</v>
      </c>
      <c r="N36" t="s">
        <v>64</v>
      </c>
      <c r="O36" t="str">
        <f>IF(OR(AND(data!M36='categories 2'!A$2,data!N36='categories 2'!B$2),
       AND(data!M36='categories 2'!A$3,data!N36='categories 2'!B$3),
       AND(data!M36='categories 2'!A$4,data!N36='categories 2'!B$4),
       AND(data!M36='categories 2'!A$5,data!N36='categories 2'!B$5)), "aligned", "MISALIGNED")</f>
        <v>aligned</v>
      </c>
    </row>
    <row r="37" spans="1:17" ht="28.75" customHeight="1" x14ac:dyDescent="0.2">
      <c r="A37" s="16" t="s">
        <v>119</v>
      </c>
      <c r="B37" s="13" t="s">
        <v>120</v>
      </c>
      <c r="C37" s="13">
        <v>2015</v>
      </c>
      <c r="D37" s="13" t="s">
        <v>121</v>
      </c>
      <c r="E37" s="13" t="s">
        <v>122</v>
      </c>
      <c r="F37" s="13" t="s">
        <v>123</v>
      </c>
      <c r="G37" s="13">
        <v>89</v>
      </c>
      <c r="H37" s="13">
        <v>1</v>
      </c>
      <c r="I37">
        <v>1</v>
      </c>
      <c r="K37" s="13">
        <v>1</v>
      </c>
      <c r="L37" t="s">
        <v>350</v>
      </c>
      <c r="M37" t="s">
        <v>61</v>
      </c>
      <c r="N37" t="s">
        <v>64</v>
      </c>
      <c r="O37" t="str">
        <f>IF(OR(AND(data!M37='categories 2'!A$2,data!N37='categories 2'!B$2),
       AND(data!M37='categories 2'!A$3,data!N37='categories 2'!B$3),
       AND(data!M37='categories 2'!A$4,data!N37='categories 2'!B$4),
       AND(data!M37='categories 2'!A$5,data!N37='categories 2'!B$5)), "aligned", "MISALIGNED")</f>
        <v>aligned</v>
      </c>
    </row>
    <row r="38" spans="1:17" ht="28.75" customHeight="1" x14ac:dyDescent="0.2">
      <c r="A38" s="16"/>
      <c r="B38" s="13"/>
      <c r="C38" s="13"/>
      <c r="E38" s="13"/>
      <c r="G38" s="13"/>
      <c r="H38" s="13"/>
      <c r="I38">
        <v>1</v>
      </c>
      <c r="K38">
        <v>2</v>
      </c>
      <c r="L38" t="s">
        <v>351</v>
      </c>
      <c r="M38" t="s">
        <v>61</v>
      </c>
      <c r="N38" t="s">
        <v>64</v>
      </c>
      <c r="O38" t="str">
        <f>IF(OR(AND(data!M38='categories 2'!A$2,data!N38='categories 2'!B$2),
       AND(data!M38='categories 2'!A$3,data!N38='categories 2'!B$3),
       AND(data!M38='categories 2'!A$4,data!N38='categories 2'!B$4),
       AND(data!M38='categories 2'!A$5,data!N38='categories 2'!B$5)), "aligned", "MISALIGNED")</f>
        <v>aligned</v>
      </c>
    </row>
    <row r="39" spans="1:17" ht="28.75" customHeight="1" x14ac:dyDescent="0.2">
      <c r="A39" s="16" t="s">
        <v>124</v>
      </c>
      <c r="B39" s="13" t="s">
        <v>125</v>
      </c>
      <c r="C39" s="13">
        <v>2022</v>
      </c>
      <c r="D39" s="13" t="s">
        <v>126</v>
      </c>
      <c r="E39" s="13" t="s">
        <v>122</v>
      </c>
      <c r="F39" s="13" t="s">
        <v>127</v>
      </c>
      <c r="G39" s="13">
        <v>1</v>
      </c>
      <c r="H39" s="13">
        <v>2</v>
      </c>
      <c r="I39">
        <v>2</v>
      </c>
      <c r="K39" s="13">
        <v>1</v>
      </c>
      <c r="L39" t="s">
        <v>353</v>
      </c>
      <c r="M39" t="s">
        <v>60</v>
      </c>
      <c r="N39" t="s">
        <v>49</v>
      </c>
      <c r="O39" t="str">
        <f>IF(OR(AND(data!M39='categories 2'!A$2,data!N39='categories 2'!B$2),
       AND(data!M39='categories 2'!A$3,data!N39='categories 2'!B$3),
       AND(data!M39='categories 2'!A$4,data!N39='categories 2'!B$4),
       AND(data!M39='categories 2'!A$5,data!N39='categories 2'!B$5)), "aligned", "MISALIGNED")</f>
        <v>aligned</v>
      </c>
    </row>
    <row r="40" spans="1:17" ht="28.75" customHeight="1" x14ac:dyDescent="0.2">
      <c r="A40" s="16"/>
      <c r="B40" s="13"/>
      <c r="C40" s="13"/>
      <c r="E40" s="13"/>
      <c r="G40" s="13"/>
      <c r="H40" s="13"/>
      <c r="I40">
        <v>2</v>
      </c>
      <c r="K40">
        <v>2</v>
      </c>
      <c r="L40" t="s">
        <v>352</v>
      </c>
      <c r="M40" t="s">
        <v>61</v>
      </c>
      <c r="N40" t="s">
        <v>64</v>
      </c>
      <c r="O40" t="str">
        <f>IF(OR(AND(data!M40='categories 2'!A$2,data!N40='categories 2'!B$2),
       AND(data!M40='categories 2'!A$3,data!N40='categories 2'!B$3),
       AND(data!M40='categories 2'!A$4,data!N40='categories 2'!B$4),
       AND(data!M40='categories 2'!A$5,data!N40='categories 2'!B$5)), "aligned", "MISALIGNED")</f>
        <v>aligned</v>
      </c>
    </row>
    <row r="41" spans="1:17" ht="28.75" customHeight="1" x14ac:dyDescent="0.2">
      <c r="A41" s="16" t="s">
        <v>128</v>
      </c>
      <c r="B41" s="13" t="s">
        <v>129</v>
      </c>
      <c r="C41" s="13">
        <v>2007</v>
      </c>
      <c r="D41" s="13" t="s">
        <v>130</v>
      </c>
      <c r="E41" s="13" t="s">
        <v>131</v>
      </c>
      <c r="F41" s="13" t="s">
        <v>132</v>
      </c>
      <c r="G41" s="13">
        <v>147</v>
      </c>
      <c r="H41" s="13">
        <v>1</v>
      </c>
      <c r="I41">
        <v>1</v>
      </c>
      <c r="K41" s="13">
        <v>1</v>
      </c>
      <c r="L41" t="s">
        <v>359</v>
      </c>
      <c r="M41" t="s">
        <v>61</v>
      </c>
      <c r="N41" t="s">
        <v>65</v>
      </c>
      <c r="O41" t="str">
        <f>IF(OR(AND(data!M41='categories 2'!A$2,data!N41='categories 2'!B$2),
       AND(data!M41='categories 2'!A$3,data!N41='categories 2'!B$3),
       AND(data!M41='categories 2'!A$4,data!N41='categories 2'!B$4),
       AND(data!M41='categories 2'!A$5,data!N41='categories 2'!B$5)), "aligned", "MISALIGNED")</f>
        <v>MISALIGNED</v>
      </c>
      <c r="P41" s="8" t="b">
        <v>0</v>
      </c>
      <c r="Q41" s="8" t="s">
        <v>68</v>
      </c>
    </row>
    <row r="42" spans="1:17" ht="28.75" customHeight="1" x14ac:dyDescent="0.2">
      <c r="A42" s="16"/>
      <c r="B42" s="13"/>
      <c r="C42" s="13"/>
      <c r="E42" s="13"/>
      <c r="G42" s="13"/>
      <c r="H42" s="13"/>
      <c r="I42">
        <v>1</v>
      </c>
      <c r="K42">
        <v>2</v>
      </c>
      <c r="L42" s="13" t="s">
        <v>482</v>
      </c>
      <c r="M42" t="s">
        <v>61</v>
      </c>
      <c r="N42" t="s">
        <v>65</v>
      </c>
      <c r="O42" t="str">
        <f>IF(OR(AND(data!M42='categories 2'!A$2,data!N42='categories 2'!B$2),
       AND(data!M42='categories 2'!A$3,data!N42='categories 2'!B$3),
       AND(data!M42='categories 2'!A$4,data!N42='categories 2'!B$4),
       AND(data!M42='categories 2'!A$5,data!N42='categories 2'!B$5)), "aligned", "MISALIGNED")</f>
        <v>MISALIGNED</v>
      </c>
      <c r="P42" s="8" t="b">
        <v>0</v>
      </c>
      <c r="Q42" s="8" t="s">
        <v>68</v>
      </c>
    </row>
    <row r="43" spans="1:17" ht="28.75" customHeight="1" x14ac:dyDescent="0.2">
      <c r="A43" s="16"/>
      <c r="B43" s="13"/>
      <c r="C43" s="13"/>
      <c r="E43" s="13"/>
      <c r="G43" s="13"/>
      <c r="H43" s="13"/>
      <c r="I43">
        <v>1</v>
      </c>
      <c r="K43" s="13">
        <v>3</v>
      </c>
      <c r="L43" t="s">
        <v>354</v>
      </c>
      <c r="M43" t="s">
        <v>61</v>
      </c>
      <c r="N43" t="s">
        <v>68</v>
      </c>
      <c r="O43" t="str">
        <f>IF(OR(AND(data!M43='categories 2'!A$2,data!N43='categories 2'!B$2),
       AND(data!M43='categories 2'!A$3,data!N43='categories 2'!B$3),
       AND(data!M43='categories 2'!A$4,data!N43='categories 2'!B$4),
       AND(data!M43='categories 2'!A$5,data!N43='categories 2'!B$5)), "aligned", "MISALIGNED")</f>
        <v>MISALIGNED</v>
      </c>
    </row>
    <row r="44" spans="1:17" ht="28.75" customHeight="1" x14ac:dyDescent="0.2">
      <c r="A44" s="16"/>
      <c r="B44" s="13"/>
      <c r="C44" s="13"/>
      <c r="E44" s="13"/>
      <c r="G44" s="13"/>
      <c r="H44" s="13"/>
      <c r="I44">
        <v>1</v>
      </c>
      <c r="K44">
        <v>4</v>
      </c>
      <c r="L44" t="s">
        <v>355</v>
      </c>
      <c r="M44" t="s">
        <v>61</v>
      </c>
      <c r="N44" t="s">
        <v>64</v>
      </c>
      <c r="O44" t="str">
        <f>IF(OR(AND(data!M44='categories 2'!A$2,data!N44='categories 2'!B$2),
       AND(data!M44='categories 2'!A$3,data!N44='categories 2'!B$3),
       AND(data!M44='categories 2'!A$4,data!N44='categories 2'!B$4),
       AND(data!M44='categories 2'!A$5,data!N44='categories 2'!B$5)), "aligned", "MISALIGNED")</f>
        <v>aligned</v>
      </c>
    </row>
    <row r="45" spans="1:17" ht="28.75" customHeight="1" x14ac:dyDescent="0.2">
      <c r="A45" s="16"/>
      <c r="B45" s="13"/>
      <c r="C45" s="13"/>
      <c r="E45" s="13"/>
      <c r="G45" s="13"/>
      <c r="H45" s="13"/>
      <c r="I45">
        <v>1</v>
      </c>
      <c r="K45" s="13">
        <v>5</v>
      </c>
      <c r="L45" s="13" t="s">
        <v>483</v>
      </c>
      <c r="M45" t="s">
        <v>61</v>
      </c>
      <c r="N45" t="s">
        <v>50</v>
      </c>
      <c r="O45" t="str">
        <f>IF(OR(AND(data!M45='categories 2'!A$2,data!N45='categories 2'!B$2),
       AND(data!M45='categories 2'!A$3,data!N45='categories 2'!B$3),
       AND(data!M45='categories 2'!A$4,data!N45='categories 2'!B$4),
       AND(data!M45='categories 2'!A$5,data!N45='categories 2'!B$5)), "aligned", "MISALIGNED")</f>
        <v>MISALIGNED</v>
      </c>
    </row>
    <row r="46" spans="1:17" ht="28.75" customHeight="1" x14ac:dyDescent="0.2">
      <c r="A46" s="16"/>
      <c r="B46" s="13"/>
      <c r="C46" s="13"/>
      <c r="E46" s="13"/>
      <c r="G46" s="13"/>
      <c r="H46" s="13"/>
      <c r="I46">
        <v>1</v>
      </c>
      <c r="K46">
        <v>6</v>
      </c>
      <c r="L46" t="s">
        <v>356</v>
      </c>
      <c r="M46" t="s">
        <v>61</v>
      </c>
      <c r="N46" t="s">
        <v>64</v>
      </c>
      <c r="O46" t="str">
        <f>IF(OR(AND(data!M46='categories 2'!A$2,data!N46='categories 2'!B$2),
       AND(data!M46='categories 2'!A$3,data!N46='categories 2'!B$3),
       AND(data!M46='categories 2'!A$4,data!N46='categories 2'!B$4),
       AND(data!M46='categories 2'!A$5,data!N46='categories 2'!B$5)), "aligned", "MISALIGNED")</f>
        <v>aligned</v>
      </c>
    </row>
    <row r="47" spans="1:17" ht="28.75" customHeight="1" x14ac:dyDescent="0.2">
      <c r="A47" s="16"/>
      <c r="B47" s="13"/>
      <c r="C47" s="13"/>
      <c r="E47" s="13"/>
      <c r="G47" s="13"/>
      <c r="H47" s="13"/>
      <c r="I47">
        <v>1</v>
      </c>
      <c r="K47" s="13">
        <v>7</v>
      </c>
      <c r="L47" t="s">
        <v>357</v>
      </c>
      <c r="M47" t="s">
        <v>61</v>
      </c>
      <c r="N47" t="s">
        <v>68</v>
      </c>
      <c r="O47" t="str">
        <f>IF(OR(AND(data!M47='categories 2'!A$2,data!N47='categories 2'!B$2),
       AND(data!M47='categories 2'!A$3,data!N47='categories 2'!B$3),
       AND(data!M47='categories 2'!A$4,data!N47='categories 2'!B$4),
       AND(data!M47='categories 2'!A$5,data!N47='categories 2'!B$5)), "aligned", "MISALIGNED")</f>
        <v>MISALIGNED</v>
      </c>
    </row>
    <row r="48" spans="1:17" ht="28.75" customHeight="1" x14ac:dyDescent="0.2">
      <c r="A48" s="16"/>
      <c r="B48" s="13"/>
      <c r="C48" s="13"/>
      <c r="E48" s="13"/>
      <c r="G48" s="13"/>
      <c r="H48" s="13"/>
      <c r="I48">
        <v>1</v>
      </c>
      <c r="K48">
        <v>8</v>
      </c>
      <c r="L48" s="13" t="s">
        <v>484</v>
      </c>
      <c r="M48" t="s">
        <v>61</v>
      </c>
      <c r="N48" t="s">
        <v>64</v>
      </c>
      <c r="O48" t="str">
        <f>IF(OR(AND(data!M48='categories 2'!A$2,data!N48='categories 2'!B$2),
       AND(data!M48='categories 2'!A$3,data!N48='categories 2'!B$3),
       AND(data!M48='categories 2'!A$4,data!N48='categories 2'!B$4),
       AND(data!M48='categories 2'!A$5,data!N48='categories 2'!B$5)), "aligned", "MISALIGNED")</f>
        <v>aligned</v>
      </c>
    </row>
    <row r="49" spans="1:17" ht="28.75" customHeight="1" x14ac:dyDescent="0.2">
      <c r="A49" s="16"/>
      <c r="B49" s="13"/>
      <c r="C49" s="13"/>
      <c r="E49" s="13"/>
      <c r="G49" s="13"/>
      <c r="H49" s="13"/>
      <c r="I49">
        <v>1</v>
      </c>
      <c r="K49" s="13">
        <v>9</v>
      </c>
      <c r="L49" t="s">
        <v>360</v>
      </c>
      <c r="M49" t="s">
        <v>61</v>
      </c>
      <c r="N49" t="s">
        <v>68</v>
      </c>
      <c r="O49" t="str">
        <f>IF(OR(AND(data!M49='categories 2'!A$2,data!N49='categories 2'!B$2),
       AND(data!M49='categories 2'!A$3,data!N49='categories 2'!B$3),
       AND(data!M49='categories 2'!A$4,data!N49='categories 2'!B$4),
       AND(data!M49='categories 2'!A$5,data!N49='categories 2'!B$5)), "aligned", "MISALIGNED")</f>
        <v>MISALIGNED</v>
      </c>
    </row>
    <row r="50" spans="1:17" ht="28.75" customHeight="1" x14ac:dyDescent="0.2">
      <c r="A50" s="16"/>
      <c r="B50" s="13"/>
      <c r="C50" s="13"/>
      <c r="E50" s="13"/>
      <c r="G50" s="13"/>
      <c r="H50" s="13"/>
      <c r="I50">
        <v>1</v>
      </c>
      <c r="K50">
        <v>10</v>
      </c>
      <c r="L50" s="13" t="s">
        <v>358</v>
      </c>
      <c r="M50" t="s">
        <v>61</v>
      </c>
      <c r="N50" t="s">
        <v>68</v>
      </c>
      <c r="O50" t="str">
        <f>IF(OR(AND(data!M50='categories 2'!A$2,data!N50='categories 2'!B$2),
       AND(data!M50='categories 2'!A$3,data!N50='categories 2'!B$3),
       AND(data!M50='categories 2'!A$4,data!N50='categories 2'!B$4),
       AND(data!M50='categories 2'!A$5,data!N50='categories 2'!B$5)), "aligned", "MISALIGNED")</f>
        <v>MISALIGNED</v>
      </c>
    </row>
    <row r="51" spans="1:17" ht="28.75" customHeight="1" x14ac:dyDescent="0.2">
      <c r="A51" s="16" t="s">
        <v>133</v>
      </c>
      <c r="B51" s="13" t="s">
        <v>134</v>
      </c>
      <c r="C51" s="13">
        <v>2020</v>
      </c>
      <c r="D51" s="13" t="s">
        <v>135</v>
      </c>
      <c r="E51" s="13" t="s">
        <v>131</v>
      </c>
      <c r="F51" s="13" t="s">
        <v>136</v>
      </c>
      <c r="G51" s="13"/>
      <c r="H51" s="13">
        <v>2</v>
      </c>
      <c r="I51">
        <v>1</v>
      </c>
      <c r="K51" s="13">
        <v>1</v>
      </c>
      <c r="L51" s="17" t="s">
        <v>485</v>
      </c>
      <c r="M51" t="s">
        <v>61</v>
      </c>
      <c r="N51" t="s">
        <v>64</v>
      </c>
      <c r="O51" t="str">
        <f>IF(OR(AND(data!M51='categories 2'!A$2,data!N51='categories 2'!B$2),
       AND(data!M51='categories 2'!A$3,data!N51='categories 2'!B$3),
       AND(data!M51='categories 2'!A$4,data!N51='categories 2'!B$4),
       AND(data!M51='categories 2'!A$5,data!N51='categories 2'!B$5)), "aligned", "MISALIGNED")</f>
        <v>aligned</v>
      </c>
    </row>
    <row r="52" spans="1:17" ht="28.75" customHeight="1" x14ac:dyDescent="0.2">
      <c r="A52" s="16"/>
      <c r="B52" s="13"/>
      <c r="C52" s="13"/>
      <c r="E52" s="13"/>
      <c r="G52" s="13"/>
      <c r="H52" s="13"/>
      <c r="I52">
        <v>1</v>
      </c>
      <c r="K52">
        <v>2</v>
      </c>
      <c r="L52" t="s">
        <v>361</v>
      </c>
      <c r="M52" t="s">
        <v>61</v>
      </c>
      <c r="N52" t="s">
        <v>64</v>
      </c>
      <c r="O52" t="str">
        <f>IF(OR(AND(data!M52='categories 2'!A$2,data!N52='categories 2'!B$2),
       AND(data!M52='categories 2'!A$3,data!N52='categories 2'!B$3),
       AND(data!M52='categories 2'!A$4,data!N52='categories 2'!B$4),
       AND(data!M52='categories 2'!A$5,data!N52='categories 2'!B$5)), "aligned", "MISALIGNED")</f>
        <v>aligned</v>
      </c>
    </row>
    <row r="53" spans="1:17" ht="28.75" customHeight="1" x14ac:dyDescent="0.2">
      <c r="A53" s="16"/>
      <c r="B53" s="13"/>
      <c r="C53" s="13"/>
      <c r="E53" s="13"/>
      <c r="G53" s="13"/>
      <c r="H53" s="13"/>
      <c r="I53">
        <v>1</v>
      </c>
      <c r="K53" s="13">
        <v>3</v>
      </c>
      <c r="L53" s="17" t="s">
        <v>362</v>
      </c>
      <c r="M53" t="s">
        <v>61</v>
      </c>
      <c r="N53" t="s">
        <v>64</v>
      </c>
      <c r="O53" t="str">
        <f>IF(OR(AND(data!M53='categories 2'!A$2,data!N53='categories 2'!B$2),
       AND(data!M53='categories 2'!A$3,data!N53='categories 2'!B$3),
       AND(data!M53='categories 2'!A$4,data!N53='categories 2'!B$4),
       AND(data!M53='categories 2'!A$5,data!N53='categories 2'!B$5)), "aligned", "MISALIGNED")</f>
        <v>aligned</v>
      </c>
    </row>
    <row r="54" spans="1:17" ht="28.75" customHeight="1" x14ac:dyDescent="0.2">
      <c r="A54" s="16"/>
      <c r="B54" s="13"/>
      <c r="C54" s="13"/>
      <c r="E54" s="13"/>
      <c r="G54" s="13"/>
      <c r="H54" s="13"/>
      <c r="I54">
        <v>1</v>
      </c>
      <c r="K54">
        <v>4</v>
      </c>
      <c r="L54" s="17" t="s">
        <v>486</v>
      </c>
      <c r="M54" t="s">
        <v>61</v>
      </c>
      <c r="N54" t="s">
        <v>64</v>
      </c>
      <c r="O54" t="str">
        <f>IF(OR(AND(data!M54='categories 2'!A$2,data!N54='categories 2'!B$2),
       AND(data!M54='categories 2'!A$3,data!N54='categories 2'!B$3),
       AND(data!M54='categories 2'!A$4,data!N54='categories 2'!B$4),
       AND(data!M54='categories 2'!A$5,data!N54='categories 2'!B$5)), "aligned", "MISALIGNED")</f>
        <v>aligned</v>
      </c>
    </row>
    <row r="55" spans="1:17" ht="28.75" customHeight="1" x14ac:dyDescent="0.2">
      <c r="A55" s="16"/>
      <c r="B55" s="13"/>
      <c r="C55" s="13"/>
      <c r="E55" s="13"/>
      <c r="G55" s="13"/>
      <c r="H55" s="13"/>
      <c r="I55">
        <v>1</v>
      </c>
      <c r="K55" s="13">
        <v>5</v>
      </c>
      <c r="L55" t="s">
        <v>487</v>
      </c>
      <c r="M55" t="s">
        <v>63</v>
      </c>
      <c r="N55" t="s">
        <v>65</v>
      </c>
      <c r="O55" t="str">
        <f>IF(OR(AND(data!M55='categories 2'!A$2,data!N55='categories 2'!B$2),
       AND(data!M55='categories 2'!A$3,data!N55='categories 2'!B$3),
       AND(data!M55='categories 2'!A$4,data!N55='categories 2'!B$4),
       AND(data!M55='categories 2'!A$5,data!N55='categories 2'!B$5)), "aligned", "MISALIGNED")</f>
        <v>aligned</v>
      </c>
      <c r="P55" s="8" t="b">
        <v>0</v>
      </c>
      <c r="Q55" s="8" t="b">
        <v>1</v>
      </c>
    </row>
    <row r="56" spans="1:17" ht="28.75" customHeight="1" x14ac:dyDescent="0.2">
      <c r="A56" s="16"/>
      <c r="B56" s="13"/>
      <c r="C56" s="13"/>
      <c r="E56" s="13"/>
      <c r="G56" s="13"/>
      <c r="H56" s="13"/>
      <c r="I56">
        <v>1</v>
      </c>
      <c r="K56">
        <v>6</v>
      </c>
      <c r="L56" t="s">
        <v>467</v>
      </c>
      <c r="M56" t="s">
        <v>61</v>
      </c>
      <c r="N56" t="s">
        <v>68</v>
      </c>
      <c r="O56" t="str">
        <f>IF(OR(AND(data!M56='categories 2'!A$2,data!N56='categories 2'!B$2),
       AND(data!M56='categories 2'!A$3,data!N56='categories 2'!B$3),
       AND(data!M56='categories 2'!A$4,data!N56='categories 2'!B$4),
       AND(data!M56='categories 2'!A$5,data!N56='categories 2'!B$5)), "aligned", "MISALIGNED")</f>
        <v>MISALIGNED</v>
      </c>
    </row>
    <row r="57" spans="1:17" s="13" customFormat="1" ht="28.75" customHeight="1" x14ac:dyDescent="0.2">
      <c r="A57" s="16" t="s">
        <v>137</v>
      </c>
      <c r="B57" s="13" t="s">
        <v>138</v>
      </c>
      <c r="C57" s="13">
        <v>2023</v>
      </c>
      <c r="D57" s="13" t="s">
        <v>139</v>
      </c>
      <c r="E57" s="13" t="s">
        <v>140</v>
      </c>
      <c r="F57" s="13" t="s">
        <v>141</v>
      </c>
      <c r="G57" s="13">
        <v>4</v>
      </c>
      <c r="H57" s="13">
        <v>1</v>
      </c>
      <c r="I57">
        <v>1</v>
      </c>
      <c r="K57" s="13">
        <v>1</v>
      </c>
      <c r="L57" s="13" t="s">
        <v>461</v>
      </c>
      <c r="M57" s="13" t="s">
        <v>61</v>
      </c>
      <c r="N57" s="13" t="s">
        <v>68</v>
      </c>
      <c r="O57" s="13" t="str">
        <f>IF(OR(AND(data!M57='categories 2'!A$2,data!N57='categories 2'!B$2),
       AND(data!M57='categories 2'!A$3,data!N57='categories 2'!B$3),
       AND(data!M57='categories 2'!A$4,data!N57='categories 2'!B$4),
       AND(data!M57='categories 2'!A$5,data!N57='categories 2'!B$5)), "aligned", "MISALIGNED")</f>
        <v>MISALIGNED</v>
      </c>
      <c r="P57" s="14"/>
      <c r="Q57" s="14"/>
    </row>
    <row r="58" spans="1:17" s="13" customFormat="1" ht="28.75" customHeight="1" x14ac:dyDescent="0.2">
      <c r="A58" s="16"/>
      <c r="I58">
        <v>1</v>
      </c>
      <c r="K58" s="13">
        <v>2</v>
      </c>
      <c r="L58" s="13" t="s">
        <v>462</v>
      </c>
      <c r="M58" s="13" t="s">
        <v>61</v>
      </c>
      <c r="N58" s="13" t="s">
        <v>68</v>
      </c>
      <c r="O58" s="13" t="str">
        <f>IF(OR(AND(data!M58='categories 2'!A$2,data!N58='categories 2'!B$2),
       AND(data!M58='categories 2'!A$3,data!N58='categories 2'!B$3),
       AND(data!M58='categories 2'!A$4,data!N58='categories 2'!B$4),
       AND(data!M58='categories 2'!A$5,data!N58='categories 2'!B$5)), "aligned", "MISALIGNED")</f>
        <v>MISALIGNED</v>
      </c>
      <c r="P58" s="14"/>
      <c r="Q58" s="14"/>
    </row>
    <row r="59" spans="1:17" ht="28.75" customHeight="1" x14ac:dyDescent="0.2">
      <c r="A59" s="16" t="s">
        <v>142</v>
      </c>
      <c r="B59" s="13" t="s">
        <v>143</v>
      </c>
      <c r="C59" s="13">
        <v>2012</v>
      </c>
      <c r="D59" s="13" t="s">
        <v>144</v>
      </c>
      <c r="E59" s="13" t="s">
        <v>140</v>
      </c>
      <c r="F59" s="13" t="s">
        <v>145</v>
      </c>
      <c r="G59" s="13">
        <v>67</v>
      </c>
      <c r="H59" s="13">
        <v>2</v>
      </c>
      <c r="I59">
        <v>1</v>
      </c>
      <c r="K59">
        <v>1</v>
      </c>
      <c r="L59" t="s">
        <v>365</v>
      </c>
      <c r="M59" t="s">
        <v>61</v>
      </c>
      <c r="N59" t="s">
        <v>65</v>
      </c>
      <c r="O59" t="str">
        <f>IF(OR(AND(data!M59='categories 2'!A$2,data!N59='categories 2'!B$2),
       AND(data!M59='categories 2'!A$3,data!N59='categories 2'!B$3),
       AND(data!M59='categories 2'!A$4,data!N59='categories 2'!B$4),
       AND(data!M59='categories 2'!A$5,data!N59='categories 2'!B$5)), "aligned", "MISALIGNED")</f>
        <v>MISALIGNED</v>
      </c>
      <c r="P59" s="8" t="b">
        <v>0</v>
      </c>
      <c r="Q59" s="8" t="b">
        <v>1</v>
      </c>
    </row>
    <row r="60" spans="1:17" ht="28.75" customHeight="1" x14ac:dyDescent="0.2">
      <c r="A60" s="16"/>
      <c r="B60" s="13"/>
      <c r="C60" s="13"/>
      <c r="E60" s="13"/>
      <c r="G60" s="13"/>
      <c r="H60" s="13"/>
      <c r="I60">
        <v>1</v>
      </c>
      <c r="K60" s="13">
        <v>2</v>
      </c>
      <c r="L60" t="s">
        <v>363</v>
      </c>
      <c r="M60" t="s">
        <v>63</v>
      </c>
      <c r="N60" t="s">
        <v>65</v>
      </c>
      <c r="O60" t="str">
        <f>IF(OR(AND(data!M60='categories 2'!A$2,data!N60='categories 2'!B$2),
       AND(data!M60='categories 2'!A$3,data!N60='categories 2'!B$3),
       AND(data!M60='categories 2'!A$4,data!N60='categories 2'!B$4),
       AND(data!M60='categories 2'!A$5,data!N60='categories 2'!B$5)), "aligned", "MISALIGNED")</f>
        <v>aligned</v>
      </c>
      <c r="P60" s="8" t="b">
        <v>0</v>
      </c>
      <c r="Q60" s="8" t="b">
        <v>1</v>
      </c>
    </row>
    <row r="61" spans="1:17" ht="28.75" customHeight="1" x14ac:dyDescent="0.2">
      <c r="A61" s="16"/>
      <c r="B61" s="13"/>
      <c r="C61" s="13"/>
      <c r="E61" s="13"/>
      <c r="G61" s="13"/>
      <c r="H61" s="13"/>
      <c r="I61">
        <v>1</v>
      </c>
      <c r="K61">
        <v>3</v>
      </c>
      <c r="L61" t="s">
        <v>364</v>
      </c>
      <c r="M61" t="s">
        <v>61</v>
      </c>
      <c r="N61" t="s">
        <v>64</v>
      </c>
      <c r="O61" t="str">
        <f>IF(OR(AND(data!M61='categories 2'!A$2,data!N61='categories 2'!B$2),
       AND(data!M61='categories 2'!A$3,data!N61='categories 2'!B$3),
       AND(data!M61='categories 2'!A$4,data!N61='categories 2'!B$4),
       AND(data!M61='categories 2'!A$5,data!N61='categories 2'!B$5)), "aligned", "MISALIGNED")</f>
        <v>aligned</v>
      </c>
    </row>
    <row r="62" spans="1:17" ht="28.75" customHeight="1" x14ac:dyDescent="0.2">
      <c r="A62" s="16" t="s">
        <v>146</v>
      </c>
      <c r="B62" s="13" t="s">
        <v>147</v>
      </c>
      <c r="C62" s="13">
        <v>2014</v>
      </c>
      <c r="D62" s="13" t="s">
        <v>148</v>
      </c>
      <c r="E62" s="13" t="s">
        <v>149</v>
      </c>
      <c r="F62" s="13" t="s">
        <v>150</v>
      </c>
      <c r="G62" s="13">
        <v>55</v>
      </c>
      <c r="H62" s="13">
        <v>1</v>
      </c>
      <c r="I62">
        <v>1</v>
      </c>
      <c r="K62" s="13">
        <v>1</v>
      </c>
      <c r="L62" t="s">
        <v>366</v>
      </c>
      <c r="M62" t="s">
        <v>61</v>
      </c>
      <c r="N62" t="s">
        <v>65</v>
      </c>
      <c r="O62" t="str">
        <f>IF(OR(AND(data!M62='categories 2'!A$2,data!N62='categories 2'!B$2),
       AND(data!M62='categories 2'!A$3,data!N62='categories 2'!B$3),
       AND(data!M62='categories 2'!A$4,data!N62='categories 2'!B$4),
       AND(data!M62='categories 2'!A$5,data!N62='categories 2'!B$5)), "aligned", "MISALIGNED")</f>
        <v>MISALIGNED</v>
      </c>
      <c r="P62" s="8" t="b">
        <v>0</v>
      </c>
      <c r="Q62" s="8" t="b">
        <v>1</v>
      </c>
    </row>
    <row r="63" spans="1:17" ht="28.75" customHeight="1" x14ac:dyDescent="0.2">
      <c r="A63" s="16"/>
      <c r="B63" s="13"/>
      <c r="C63" s="13"/>
      <c r="E63" s="13"/>
      <c r="G63" s="13"/>
      <c r="H63" s="13"/>
      <c r="I63">
        <v>1</v>
      </c>
      <c r="K63">
        <v>2</v>
      </c>
      <c r="L63" t="s">
        <v>367</v>
      </c>
      <c r="M63" t="s">
        <v>61</v>
      </c>
      <c r="N63" t="s">
        <v>64</v>
      </c>
      <c r="O63" t="str">
        <f>IF(OR(AND(data!M63='categories 2'!A$2,data!N63='categories 2'!B$2),
       AND(data!M63='categories 2'!A$3,data!N63='categories 2'!B$3),
       AND(data!M63='categories 2'!A$4,data!N63='categories 2'!B$4),
       AND(data!M63='categories 2'!A$5,data!N63='categories 2'!B$5)), "aligned", "MISALIGNED")</f>
        <v>aligned</v>
      </c>
    </row>
    <row r="64" spans="1:17" ht="28.75" customHeight="1" x14ac:dyDescent="0.2">
      <c r="A64" s="16"/>
      <c r="B64" s="13"/>
      <c r="C64" s="13"/>
      <c r="E64" s="13"/>
      <c r="G64" s="13"/>
      <c r="H64" s="13"/>
      <c r="I64">
        <v>1</v>
      </c>
      <c r="K64" s="13">
        <v>3</v>
      </c>
      <c r="L64" t="s">
        <v>368</v>
      </c>
      <c r="M64" t="s">
        <v>61</v>
      </c>
      <c r="N64" t="s">
        <v>64</v>
      </c>
      <c r="O64" t="str">
        <f>IF(OR(AND(data!M64='categories 2'!A$2,data!N64='categories 2'!B$2),
       AND(data!M64='categories 2'!A$3,data!N64='categories 2'!B$3),
       AND(data!M64='categories 2'!A$4,data!N64='categories 2'!B$4),
       AND(data!M64='categories 2'!A$5,data!N64='categories 2'!B$5)), "aligned", "MISALIGNED")</f>
        <v>aligned</v>
      </c>
    </row>
    <row r="65" spans="1:17" ht="28.75" customHeight="1" x14ac:dyDescent="0.2">
      <c r="A65" s="16"/>
      <c r="B65" s="13"/>
      <c r="C65" s="13"/>
      <c r="E65" s="13"/>
      <c r="G65" s="13"/>
      <c r="H65" s="13"/>
      <c r="I65">
        <v>1</v>
      </c>
      <c r="K65">
        <v>4</v>
      </c>
      <c r="L65" t="s">
        <v>369</v>
      </c>
      <c r="M65" t="s">
        <v>61</v>
      </c>
      <c r="N65" t="s">
        <v>64</v>
      </c>
      <c r="O65" t="str">
        <f>IF(OR(AND(data!M65='categories 2'!A$2,data!N65='categories 2'!B$2),
       AND(data!M65='categories 2'!A$3,data!N65='categories 2'!B$3),
       AND(data!M65='categories 2'!A$4,data!N65='categories 2'!B$4),
       AND(data!M65='categories 2'!A$5,data!N65='categories 2'!B$5)), "aligned", "MISALIGNED")</f>
        <v>aligned</v>
      </c>
    </row>
    <row r="66" spans="1:17" ht="28.75" customHeight="1" x14ac:dyDescent="0.2">
      <c r="A66" s="16" t="s">
        <v>151</v>
      </c>
      <c r="B66" s="13" t="s">
        <v>152</v>
      </c>
      <c r="C66" s="13">
        <v>2012</v>
      </c>
      <c r="D66" s="13" t="s">
        <v>153</v>
      </c>
      <c r="E66" s="13" t="s">
        <v>149</v>
      </c>
      <c r="F66" s="13" t="s">
        <v>154</v>
      </c>
      <c r="G66" s="13">
        <v>46</v>
      </c>
      <c r="H66" s="13">
        <v>2</v>
      </c>
      <c r="I66">
        <v>1</v>
      </c>
      <c r="J66" t="s">
        <v>377</v>
      </c>
      <c r="K66" s="13">
        <v>1</v>
      </c>
      <c r="L66" t="s">
        <v>370</v>
      </c>
      <c r="M66" t="s">
        <v>61</v>
      </c>
      <c r="N66" t="s">
        <v>65</v>
      </c>
      <c r="O66" t="str">
        <f>IF(OR(AND(data!M66='categories 2'!A$2,data!N66='categories 2'!B$2),
       AND(data!M66='categories 2'!A$3,data!N66='categories 2'!B$3),
       AND(data!M66='categories 2'!A$4,data!N66='categories 2'!B$4),
       AND(data!M66='categories 2'!A$5,data!N66='categories 2'!B$5)), "aligned", "MISALIGNED")</f>
        <v>MISALIGNED</v>
      </c>
    </row>
    <row r="67" spans="1:17" ht="28.75" customHeight="1" x14ac:dyDescent="0.2">
      <c r="A67" s="16"/>
      <c r="B67" s="13"/>
      <c r="C67" s="13"/>
      <c r="E67" s="13"/>
      <c r="G67" s="13"/>
      <c r="H67" s="13"/>
      <c r="I67">
        <v>1</v>
      </c>
      <c r="K67">
        <v>2</v>
      </c>
      <c r="L67" t="s">
        <v>371</v>
      </c>
      <c r="M67" t="s">
        <v>61</v>
      </c>
      <c r="N67" t="s">
        <v>64</v>
      </c>
      <c r="O67" t="str">
        <f>IF(OR(AND(data!M67='categories 2'!A$2,data!N67='categories 2'!B$2),
       AND(data!M67='categories 2'!A$3,data!N67='categories 2'!B$3),
       AND(data!M67='categories 2'!A$4,data!N67='categories 2'!B$4),
       AND(data!M67='categories 2'!A$5,data!N67='categories 2'!B$5)), "aligned", "MISALIGNED")</f>
        <v>aligned</v>
      </c>
    </row>
    <row r="68" spans="1:17" ht="28.75" customHeight="1" x14ac:dyDescent="0.2">
      <c r="A68" s="16"/>
      <c r="B68" s="13"/>
      <c r="C68" s="13"/>
      <c r="E68" s="13"/>
      <c r="G68" s="13"/>
      <c r="H68" s="13"/>
      <c r="I68">
        <v>1</v>
      </c>
      <c r="K68" s="13">
        <v>3</v>
      </c>
      <c r="L68" t="s">
        <v>372</v>
      </c>
      <c r="M68" t="s">
        <v>61</v>
      </c>
      <c r="N68" t="s">
        <v>64</v>
      </c>
      <c r="O68" t="str">
        <f>IF(OR(AND(data!M68='categories 2'!A$2,data!N68='categories 2'!B$2),
       AND(data!M68='categories 2'!A$3,data!N68='categories 2'!B$3),
       AND(data!M68='categories 2'!A$4,data!N68='categories 2'!B$4),
       AND(data!M68='categories 2'!A$5,data!N68='categories 2'!B$5)), "aligned", "MISALIGNED")</f>
        <v>aligned</v>
      </c>
    </row>
    <row r="69" spans="1:17" ht="28.75" customHeight="1" x14ac:dyDescent="0.2">
      <c r="A69" s="16"/>
      <c r="B69" s="13"/>
      <c r="C69" s="13"/>
      <c r="E69" s="13"/>
      <c r="G69" s="13"/>
      <c r="H69" s="13"/>
      <c r="I69">
        <v>1</v>
      </c>
      <c r="K69">
        <v>4</v>
      </c>
      <c r="L69" t="s">
        <v>373</v>
      </c>
      <c r="M69" t="s">
        <v>61</v>
      </c>
      <c r="N69" t="s">
        <v>65</v>
      </c>
      <c r="O69" t="str">
        <f>IF(OR(AND(data!M69='categories 2'!A$2,data!N69='categories 2'!B$2),
       AND(data!M69='categories 2'!A$3,data!N69='categories 2'!B$3),
       AND(data!M69='categories 2'!A$4,data!N69='categories 2'!B$4),
       AND(data!M69='categories 2'!A$5,data!N69='categories 2'!B$5)), "aligned", "MISALIGNED")</f>
        <v>MISALIGNED</v>
      </c>
      <c r="P69" s="8" t="b">
        <v>0</v>
      </c>
      <c r="Q69" s="8" t="s">
        <v>68</v>
      </c>
    </row>
    <row r="70" spans="1:17" ht="28.75" customHeight="1" x14ac:dyDescent="0.2">
      <c r="A70" s="16"/>
      <c r="B70" s="13"/>
      <c r="C70" s="13"/>
      <c r="E70" s="13"/>
      <c r="G70" s="13"/>
      <c r="H70" s="13"/>
      <c r="I70">
        <v>1</v>
      </c>
      <c r="K70" s="13">
        <v>5</v>
      </c>
      <c r="L70" t="s">
        <v>374</v>
      </c>
      <c r="M70" t="s">
        <v>61</v>
      </c>
      <c r="N70" t="s">
        <v>65</v>
      </c>
      <c r="O70" t="str">
        <f>IF(OR(AND(data!M70='categories 2'!A$2,data!N70='categories 2'!B$2),
       AND(data!M70='categories 2'!A$3,data!N70='categories 2'!B$3),
       AND(data!M70='categories 2'!A$4,data!N70='categories 2'!B$4),
       AND(data!M70='categories 2'!A$5,data!N70='categories 2'!B$5)), "aligned", "MISALIGNED")</f>
        <v>MISALIGNED</v>
      </c>
      <c r="P70" s="8" t="b">
        <v>0</v>
      </c>
      <c r="Q70" s="8" t="s">
        <v>68</v>
      </c>
    </row>
    <row r="71" spans="1:17" ht="28.75" customHeight="1" x14ac:dyDescent="0.2">
      <c r="A71" s="16"/>
      <c r="B71" s="13"/>
      <c r="C71" s="13"/>
      <c r="E71" s="13"/>
      <c r="G71" s="13"/>
      <c r="H71" s="13"/>
      <c r="I71">
        <v>1</v>
      </c>
      <c r="K71">
        <v>6</v>
      </c>
      <c r="L71" s="13" t="s">
        <v>488</v>
      </c>
      <c r="M71" t="s">
        <v>62</v>
      </c>
      <c r="N71" t="s">
        <v>50</v>
      </c>
      <c r="O71" t="str">
        <f>IF(OR(AND(data!M71='categories 2'!A$2,data!N71='categories 2'!B$2),
       AND(data!M71='categories 2'!A$3,data!N71='categories 2'!B$3),
       AND(data!M71='categories 2'!A$4,data!N71='categories 2'!B$4),
       AND(data!M71='categories 2'!A$5,data!N71='categories 2'!B$5)), "aligned", "MISALIGNED")</f>
        <v>aligned</v>
      </c>
    </row>
    <row r="72" spans="1:17" ht="28.75" customHeight="1" x14ac:dyDescent="0.2">
      <c r="A72" s="16"/>
      <c r="B72" s="13"/>
      <c r="C72" s="13"/>
      <c r="E72" s="13"/>
      <c r="G72" s="13"/>
      <c r="H72" s="13"/>
      <c r="I72">
        <v>1</v>
      </c>
      <c r="K72" s="13">
        <v>7</v>
      </c>
      <c r="L72" t="s">
        <v>375</v>
      </c>
      <c r="M72" t="s">
        <v>61</v>
      </c>
      <c r="N72" t="s">
        <v>64</v>
      </c>
      <c r="O72" t="str">
        <f>IF(OR(AND(data!M72='categories 2'!A$2,data!N72='categories 2'!B$2),
       AND(data!M72='categories 2'!A$3,data!N72='categories 2'!B$3),
       AND(data!M72='categories 2'!A$4,data!N72='categories 2'!B$4),
       AND(data!M72='categories 2'!A$5,data!N72='categories 2'!B$5)), "aligned", "MISALIGNED")</f>
        <v>aligned</v>
      </c>
    </row>
    <row r="73" spans="1:17" ht="28.75" customHeight="1" x14ac:dyDescent="0.2">
      <c r="A73" s="16"/>
      <c r="B73" s="13"/>
      <c r="C73" s="13"/>
      <c r="E73" s="13"/>
      <c r="G73" s="13"/>
      <c r="H73" s="13"/>
      <c r="I73">
        <v>1</v>
      </c>
      <c r="K73">
        <v>8</v>
      </c>
      <c r="L73" t="s">
        <v>376</v>
      </c>
      <c r="M73" t="s">
        <v>61</v>
      </c>
      <c r="N73" t="s">
        <v>64</v>
      </c>
      <c r="O73" t="str">
        <f>IF(OR(AND(data!M73='categories 2'!A$2,data!N73='categories 2'!B$2),
       AND(data!M73='categories 2'!A$3,data!N73='categories 2'!B$3),
       AND(data!M73='categories 2'!A$4,data!N73='categories 2'!B$4),
       AND(data!M73='categories 2'!A$5,data!N73='categories 2'!B$5)), "aligned", "MISALIGNED")</f>
        <v>aligned</v>
      </c>
    </row>
    <row r="74" spans="1:17" ht="28.75" customHeight="1" x14ac:dyDescent="0.2">
      <c r="A74" s="16" t="s">
        <v>155</v>
      </c>
      <c r="B74" s="13" t="s">
        <v>156</v>
      </c>
      <c r="C74" s="13">
        <v>2015</v>
      </c>
      <c r="D74" s="13" t="s">
        <v>157</v>
      </c>
      <c r="E74" s="13" t="s">
        <v>158</v>
      </c>
      <c r="F74" s="13" t="s">
        <v>159</v>
      </c>
      <c r="G74" s="13">
        <v>36</v>
      </c>
      <c r="H74" s="13">
        <v>1</v>
      </c>
      <c r="I74">
        <v>1</v>
      </c>
      <c r="K74" s="13">
        <v>1</v>
      </c>
      <c r="L74" t="s">
        <v>378</v>
      </c>
      <c r="M74" t="s">
        <v>63</v>
      </c>
      <c r="N74" t="s">
        <v>65</v>
      </c>
      <c r="O74" t="str">
        <f>IF(OR(AND(data!M74='categories 2'!A$2,data!N74='categories 2'!B$2),
       AND(data!M74='categories 2'!A$3,data!N74='categories 2'!B$3),
       AND(data!M74='categories 2'!A$4,data!N74='categories 2'!B$4),
       AND(data!M74='categories 2'!A$5,data!N74='categories 2'!B$5)), "aligned", "MISALIGNED")</f>
        <v>aligned</v>
      </c>
      <c r="P74" s="8" t="b">
        <v>0</v>
      </c>
      <c r="Q74" s="8" t="b">
        <v>1</v>
      </c>
    </row>
    <row r="75" spans="1:17" ht="28.75" customHeight="1" x14ac:dyDescent="0.2">
      <c r="A75" s="16"/>
      <c r="B75" s="13"/>
      <c r="C75" s="13"/>
      <c r="E75" s="13"/>
      <c r="G75" s="13"/>
      <c r="H75" s="13"/>
      <c r="I75">
        <v>1</v>
      </c>
      <c r="K75">
        <v>2</v>
      </c>
      <c r="L75" t="s">
        <v>489</v>
      </c>
      <c r="M75" t="s">
        <v>60</v>
      </c>
      <c r="N75" t="s">
        <v>49</v>
      </c>
      <c r="O75" t="str">
        <f>IF(OR(AND(data!M75='categories 2'!A$2,data!N75='categories 2'!B$2),
       AND(data!M75='categories 2'!A$3,data!N75='categories 2'!B$3),
       AND(data!M75='categories 2'!A$4,data!N75='categories 2'!B$4),
       AND(data!M75='categories 2'!A$5,data!N75='categories 2'!B$5)), "aligned", "MISALIGNED")</f>
        <v>aligned</v>
      </c>
    </row>
    <row r="76" spans="1:17" ht="28.75" customHeight="1" x14ac:dyDescent="0.2">
      <c r="A76" s="16" t="s">
        <v>160</v>
      </c>
      <c r="B76" s="13" t="s">
        <v>161</v>
      </c>
      <c r="C76" s="13">
        <v>2012</v>
      </c>
      <c r="D76" s="13" t="s">
        <v>162</v>
      </c>
      <c r="E76" s="13" t="s">
        <v>158</v>
      </c>
      <c r="F76" s="13" t="s">
        <v>163</v>
      </c>
      <c r="G76" s="13">
        <v>35</v>
      </c>
      <c r="H76" s="13">
        <v>2</v>
      </c>
      <c r="I76">
        <v>2</v>
      </c>
      <c r="K76" s="13">
        <v>1</v>
      </c>
      <c r="L76" t="s">
        <v>490</v>
      </c>
      <c r="M76" t="s">
        <v>60</v>
      </c>
      <c r="N76" t="s">
        <v>49</v>
      </c>
      <c r="O76" t="str">
        <f>IF(OR(AND(data!M76='categories 2'!A$2,data!N76='categories 2'!B$2),
       AND(data!M76='categories 2'!A$3,data!N76='categories 2'!B$3),
       AND(data!M76='categories 2'!A$4,data!N76='categories 2'!B$4),
       AND(data!M76='categories 2'!A$5,data!N76='categories 2'!B$5)), "aligned", "MISALIGNED")</f>
        <v>aligned</v>
      </c>
    </row>
    <row r="77" spans="1:17" ht="28.75" customHeight="1" x14ac:dyDescent="0.2">
      <c r="A77" s="16" t="s">
        <v>164</v>
      </c>
      <c r="B77" s="13" t="s">
        <v>165</v>
      </c>
      <c r="C77" s="13">
        <v>2024</v>
      </c>
      <c r="D77" s="13" t="s">
        <v>166</v>
      </c>
      <c r="E77" s="13" t="s">
        <v>167</v>
      </c>
      <c r="F77" s="13" t="s">
        <v>168</v>
      </c>
      <c r="G77" s="13">
        <v>0</v>
      </c>
      <c r="H77" s="13">
        <v>1</v>
      </c>
      <c r="I77">
        <v>1</v>
      </c>
      <c r="K77" s="13">
        <v>1</v>
      </c>
      <c r="L77" s="13" t="s">
        <v>491</v>
      </c>
      <c r="M77" t="s">
        <v>60</v>
      </c>
      <c r="N77" t="s">
        <v>49</v>
      </c>
      <c r="O77" t="str">
        <f>IF(OR(AND(data!M77='categories 2'!A$2,data!N77='categories 2'!B$2),
       AND(data!M77='categories 2'!A$3,data!N77='categories 2'!B$3),
       AND(data!M77='categories 2'!A$4,data!N77='categories 2'!B$4),
       AND(data!M77='categories 2'!A$5,data!N77='categories 2'!B$5)), "aligned", "MISALIGNED")</f>
        <v>aligned</v>
      </c>
    </row>
    <row r="78" spans="1:17" ht="28.75" customHeight="1" x14ac:dyDescent="0.2">
      <c r="A78" s="16"/>
      <c r="B78" s="13"/>
      <c r="C78" s="13"/>
      <c r="E78" s="13"/>
      <c r="G78" s="13"/>
      <c r="H78" s="13"/>
      <c r="I78">
        <v>1</v>
      </c>
      <c r="K78" s="13">
        <v>2</v>
      </c>
      <c r="L78" t="s">
        <v>463</v>
      </c>
      <c r="M78" t="s">
        <v>63</v>
      </c>
      <c r="N78" t="s">
        <v>65</v>
      </c>
      <c r="O78" t="str">
        <f>IF(OR(AND(data!M78='categories 2'!A$2,data!N78='categories 2'!B$2),
       AND(data!M78='categories 2'!A$3,data!N78='categories 2'!B$3),
       AND(data!M78='categories 2'!A$4,data!N78='categories 2'!B$4),
       AND(data!M78='categories 2'!A$5,data!N78='categories 2'!B$5)), "aligned", "MISALIGNED")</f>
        <v>aligned</v>
      </c>
      <c r="P78" s="8" t="b">
        <v>0</v>
      </c>
      <c r="Q78" s="8" t="b">
        <v>1</v>
      </c>
    </row>
    <row r="79" spans="1:17" ht="28.75" customHeight="1" x14ac:dyDescent="0.2">
      <c r="A79" s="16" t="s">
        <v>169</v>
      </c>
      <c r="B79" s="13" t="s">
        <v>170</v>
      </c>
      <c r="C79" s="13">
        <v>2023</v>
      </c>
      <c r="D79" s="13" t="s">
        <v>171</v>
      </c>
      <c r="E79" s="13" t="s">
        <v>167</v>
      </c>
      <c r="F79" s="13" t="s">
        <v>172</v>
      </c>
      <c r="G79" s="13">
        <v>2</v>
      </c>
      <c r="H79" s="13">
        <v>2</v>
      </c>
      <c r="I79">
        <v>1</v>
      </c>
      <c r="K79" s="13">
        <v>1</v>
      </c>
      <c r="L79" t="s">
        <v>379</v>
      </c>
      <c r="M79" t="s">
        <v>61</v>
      </c>
      <c r="N79" t="s">
        <v>64</v>
      </c>
      <c r="O79" t="str">
        <f>IF(OR(AND(data!M79='categories 2'!A$2,data!N79='categories 2'!B$2),
       AND(data!M79='categories 2'!A$3,data!N79='categories 2'!B$3),
       AND(data!M79='categories 2'!A$4,data!N79='categories 2'!B$4),
       AND(data!M79='categories 2'!A$5,data!N79='categories 2'!B$5)), "aligned", "MISALIGNED")</f>
        <v>aligned</v>
      </c>
    </row>
    <row r="80" spans="1:17" ht="28.75" customHeight="1" x14ac:dyDescent="0.2">
      <c r="A80" s="16"/>
      <c r="B80" s="13"/>
      <c r="C80" s="13"/>
      <c r="E80" s="13"/>
      <c r="G80" s="13"/>
      <c r="H80" s="13"/>
      <c r="I80">
        <v>1</v>
      </c>
      <c r="K80">
        <v>2</v>
      </c>
      <c r="L80" t="s">
        <v>380</v>
      </c>
      <c r="M80" t="s">
        <v>61</v>
      </c>
      <c r="N80" t="s">
        <v>64</v>
      </c>
      <c r="O80" t="str">
        <f>IF(OR(AND(data!M80='categories 2'!A$2,data!N80='categories 2'!B$2),
       AND(data!M80='categories 2'!A$3,data!N80='categories 2'!B$3),
       AND(data!M80='categories 2'!A$4,data!N80='categories 2'!B$4),
       AND(data!M80='categories 2'!A$5,data!N80='categories 2'!B$5)), "aligned", "MISALIGNED")</f>
        <v>aligned</v>
      </c>
    </row>
    <row r="81" spans="1:17" ht="28.75" customHeight="1" x14ac:dyDescent="0.2">
      <c r="A81" s="16"/>
      <c r="B81" s="13"/>
      <c r="C81" s="13"/>
      <c r="E81" s="13"/>
      <c r="G81" s="13"/>
      <c r="H81" s="13"/>
      <c r="I81">
        <v>1</v>
      </c>
      <c r="K81" s="13">
        <v>3</v>
      </c>
      <c r="L81" t="s">
        <v>492</v>
      </c>
      <c r="M81" t="s">
        <v>61</v>
      </c>
      <c r="N81" t="s">
        <v>64</v>
      </c>
      <c r="O81" t="str">
        <f>IF(OR(AND(data!M81='categories 2'!A$2,data!N81='categories 2'!B$2),
       AND(data!M81='categories 2'!A$3,data!N81='categories 2'!B$3),
       AND(data!M81='categories 2'!A$4,data!N81='categories 2'!B$4),
       AND(data!M81='categories 2'!A$5,data!N81='categories 2'!B$5)), "aligned", "MISALIGNED")</f>
        <v>aligned</v>
      </c>
    </row>
    <row r="82" spans="1:17" ht="28.75" customHeight="1" x14ac:dyDescent="0.2">
      <c r="A82" s="16"/>
      <c r="B82" s="13"/>
      <c r="C82" s="13"/>
      <c r="E82" s="13"/>
      <c r="G82" s="13"/>
      <c r="H82" s="13"/>
      <c r="I82">
        <v>1</v>
      </c>
      <c r="K82">
        <v>4</v>
      </c>
      <c r="L82" s="13" t="s">
        <v>493</v>
      </c>
      <c r="M82" t="s">
        <v>61</v>
      </c>
      <c r="N82" t="s">
        <v>64</v>
      </c>
      <c r="O82" t="str">
        <f>IF(OR(AND(data!M82='categories 2'!A$2,data!N82='categories 2'!B$2),
       AND(data!M82='categories 2'!A$3,data!N82='categories 2'!B$3),
       AND(data!M82='categories 2'!A$4,data!N82='categories 2'!B$4),
       AND(data!M82='categories 2'!A$5,data!N82='categories 2'!B$5)), "aligned", "MISALIGNED")</f>
        <v>aligned</v>
      </c>
    </row>
    <row r="83" spans="1:17" ht="28.75" customHeight="1" x14ac:dyDescent="0.2">
      <c r="A83" s="16" t="s">
        <v>173</v>
      </c>
      <c r="B83" s="13" t="s">
        <v>174</v>
      </c>
      <c r="C83" s="13">
        <v>2016</v>
      </c>
      <c r="D83" s="13" t="s">
        <v>175</v>
      </c>
      <c r="E83" s="13" t="s">
        <v>176</v>
      </c>
      <c r="F83" s="13" t="s">
        <v>177</v>
      </c>
      <c r="G83" s="13">
        <v>52</v>
      </c>
      <c r="H83" s="13">
        <v>1</v>
      </c>
      <c r="I83">
        <v>1</v>
      </c>
      <c r="K83" s="13">
        <v>1</v>
      </c>
      <c r="L83" s="13" t="s">
        <v>494</v>
      </c>
      <c r="M83" t="s">
        <v>60</v>
      </c>
      <c r="N83" t="s">
        <v>49</v>
      </c>
      <c r="O83" t="str">
        <f>IF(OR(AND(data!M83='categories 2'!A$2,data!N83='categories 2'!B$2),
       AND(data!M83='categories 2'!A$3,data!N83='categories 2'!B$3),
       AND(data!M83='categories 2'!A$4,data!N83='categories 2'!B$4),
       AND(data!M83='categories 2'!A$5,data!N83='categories 2'!B$5)), "aligned", "MISALIGNED")</f>
        <v>aligned</v>
      </c>
    </row>
    <row r="84" spans="1:17" ht="28.75" customHeight="1" x14ac:dyDescent="0.2">
      <c r="A84" s="16" t="s">
        <v>178</v>
      </c>
      <c r="B84" s="13" t="s">
        <v>179</v>
      </c>
      <c r="C84" s="13">
        <v>2020</v>
      </c>
      <c r="D84" s="13" t="s">
        <v>180</v>
      </c>
      <c r="E84" s="13" t="s">
        <v>176</v>
      </c>
      <c r="F84" s="13" t="s">
        <v>181</v>
      </c>
      <c r="G84" s="13">
        <v>5</v>
      </c>
      <c r="H84" s="13">
        <v>2</v>
      </c>
      <c r="I84">
        <v>1</v>
      </c>
      <c r="J84" t="s">
        <v>381</v>
      </c>
      <c r="K84" s="13">
        <v>1</v>
      </c>
      <c r="L84" t="s">
        <v>495</v>
      </c>
      <c r="M84" t="s">
        <v>54</v>
      </c>
      <c r="N84" t="s">
        <v>54</v>
      </c>
      <c r="O84" t="str">
        <f>IF(OR(AND(data!M84='categories 2'!A$2,data!N84='categories 2'!B$2),
       AND(data!M84='categories 2'!A$3,data!N84='categories 2'!B$3),
       AND(data!M84='categories 2'!A$4,data!N84='categories 2'!B$4),
       AND(data!M84='categories 2'!A$5,data!N84='categories 2'!B$5)), "aligned", "MISALIGNED")</f>
        <v>MISALIGNED</v>
      </c>
    </row>
    <row r="85" spans="1:17" ht="28.75" customHeight="1" x14ac:dyDescent="0.2">
      <c r="A85" s="16" t="s">
        <v>182</v>
      </c>
      <c r="B85" s="13" t="s">
        <v>183</v>
      </c>
      <c r="C85" s="13">
        <v>2019</v>
      </c>
      <c r="D85" s="13" t="s">
        <v>184</v>
      </c>
      <c r="E85" s="13" t="s">
        <v>185</v>
      </c>
      <c r="F85" s="13" t="s">
        <v>186</v>
      </c>
      <c r="G85" s="13">
        <v>4</v>
      </c>
      <c r="H85" s="13">
        <v>1</v>
      </c>
      <c r="I85">
        <v>2</v>
      </c>
      <c r="J85" t="s">
        <v>383</v>
      </c>
      <c r="K85" s="13">
        <v>1</v>
      </c>
      <c r="L85" t="s">
        <v>382</v>
      </c>
      <c r="M85" t="s">
        <v>61</v>
      </c>
      <c r="N85" t="s">
        <v>49</v>
      </c>
      <c r="O85" t="str">
        <f>IF(OR(AND(data!M85='categories 2'!A$2,data!N85='categories 2'!B$2),
       AND(data!M85='categories 2'!A$3,data!N85='categories 2'!B$3),
       AND(data!M85='categories 2'!A$4,data!N85='categories 2'!B$4),
       AND(data!M85='categories 2'!A$5,data!N85='categories 2'!B$5)), "aligned", "MISALIGNED")</f>
        <v>MISALIGNED</v>
      </c>
    </row>
    <row r="86" spans="1:17" ht="28.75" customHeight="1" x14ac:dyDescent="0.2">
      <c r="A86" s="16" t="s">
        <v>187</v>
      </c>
      <c r="B86" s="13" t="s">
        <v>188</v>
      </c>
      <c r="C86" s="13">
        <v>2017</v>
      </c>
      <c r="D86" s="13" t="s">
        <v>189</v>
      </c>
      <c r="E86" s="13" t="s">
        <v>185</v>
      </c>
      <c r="F86" s="13" t="s">
        <v>190</v>
      </c>
      <c r="G86" s="13">
        <v>22</v>
      </c>
      <c r="H86" s="13">
        <v>2</v>
      </c>
      <c r="I86">
        <v>1</v>
      </c>
      <c r="K86">
        <v>1</v>
      </c>
      <c r="L86" t="s">
        <v>384</v>
      </c>
      <c r="M86" t="s">
        <v>63</v>
      </c>
      <c r="N86" t="s">
        <v>65</v>
      </c>
      <c r="O86" t="str">
        <f>IF(OR(AND(data!M86='categories 2'!A$2,data!N86='categories 2'!B$2),
       AND(data!M86='categories 2'!A$3,data!N86='categories 2'!B$3),
       AND(data!M86='categories 2'!A$4,data!N86='categories 2'!B$4),
       AND(data!M86='categories 2'!A$5,data!N86='categories 2'!B$5)), "aligned", "MISALIGNED")</f>
        <v>aligned</v>
      </c>
      <c r="P86" s="8" t="s">
        <v>68</v>
      </c>
      <c r="Q86" s="8" t="s">
        <v>68</v>
      </c>
    </row>
    <row r="87" spans="1:17" ht="28.75" customHeight="1" x14ac:dyDescent="0.2">
      <c r="A87" s="16"/>
      <c r="B87" s="13"/>
      <c r="C87" s="13"/>
      <c r="E87" s="13"/>
      <c r="G87" s="13"/>
      <c r="H87" s="13"/>
      <c r="I87">
        <v>1</v>
      </c>
      <c r="K87">
        <v>2</v>
      </c>
      <c r="L87" s="13" t="s">
        <v>496</v>
      </c>
      <c r="M87" t="s">
        <v>62</v>
      </c>
      <c r="N87" t="s">
        <v>49</v>
      </c>
      <c r="O87" t="str">
        <f>IF(OR(AND(data!M87='categories 2'!A$2,data!N87='categories 2'!B$2),
       AND(data!M87='categories 2'!A$3,data!N87='categories 2'!B$3),
       AND(data!M87='categories 2'!A$4,data!N87='categories 2'!B$4),
       AND(data!M87='categories 2'!A$5,data!N87='categories 2'!B$5)), "aligned", "MISALIGNED")</f>
        <v>MISALIGNED</v>
      </c>
    </row>
    <row r="88" spans="1:17" ht="28.75" customHeight="1" x14ac:dyDescent="0.2">
      <c r="A88" s="4" t="s">
        <v>528</v>
      </c>
      <c r="B88" t="s">
        <v>529</v>
      </c>
      <c r="C88">
        <v>2022</v>
      </c>
      <c r="D88" t="s">
        <v>530</v>
      </c>
      <c r="E88" t="s">
        <v>191</v>
      </c>
      <c r="F88" t="s">
        <v>531</v>
      </c>
      <c r="G88">
        <v>1</v>
      </c>
      <c r="H88" s="13">
        <v>1</v>
      </c>
      <c r="I88">
        <v>1</v>
      </c>
      <c r="K88" s="13">
        <v>1</v>
      </c>
      <c r="L88" t="s">
        <v>533</v>
      </c>
      <c r="M88" s="13" t="s">
        <v>61</v>
      </c>
      <c r="N88" s="13" t="s">
        <v>64</v>
      </c>
      <c r="O88" t="str">
        <f>IF(OR(AND(data!M88='categories 2'!A$2,data!N88='categories 2'!B$2),
       AND(data!M88='categories 2'!A$3,data!N88='categories 2'!B$3),
       AND(data!M88='categories 2'!A$4,data!N88='categories 2'!B$4),
       AND(data!M88='categories 2'!A$5,data!N88='categories 2'!B$5)), "aligned", "MISALIGNED")</f>
        <v>aligned</v>
      </c>
    </row>
    <row r="89" spans="1:17" ht="28.75" customHeight="1" x14ac:dyDescent="0.2">
      <c r="A89" s="4"/>
      <c r="D89"/>
      <c r="F89"/>
      <c r="H89" s="13"/>
      <c r="I89">
        <v>1</v>
      </c>
      <c r="K89" s="13">
        <v>2</v>
      </c>
      <c r="L89" t="s">
        <v>532</v>
      </c>
      <c r="M89" s="13" t="s">
        <v>61</v>
      </c>
      <c r="N89" s="13" t="s">
        <v>64</v>
      </c>
      <c r="O89" t="str">
        <f>IF(OR(AND(data!M89='categories 2'!A$2,data!N89='categories 2'!B$2),
       AND(data!M89='categories 2'!A$3,data!N89='categories 2'!B$3),
       AND(data!M89='categories 2'!A$4,data!N89='categories 2'!B$4),
       AND(data!M89='categories 2'!A$5,data!N89='categories 2'!B$5)), "aligned", "MISALIGNED")</f>
        <v>aligned</v>
      </c>
    </row>
    <row r="90" spans="1:17" ht="28.75" customHeight="1" x14ac:dyDescent="0.2">
      <c r="A90" s="16" t="s">
        <v>192</v>
      </c>
      <c r="B90" s="13" t="s">
        <v>193</v>
      </c>
      <c r="C90" s="13">
        <v>2021</v>
      </c>
      <c r="D90" s="13" t="s">
        <v>194</v>
      </c>
      <c r="E90" s="13" t="s">
        <v>191</v>
      </c>
      <c r="F90" s="13" t="s">
        <v>195</v>
      </c>
      <c r="G90" s="13">
        <v>7</v>
      </c>
      <c r="H90" s="13">
        <v>2</v>
      </c>
      <c r="I90">
        <v>3</v>
      </c>
      <c r="K90" s="13">
        <v>1</v>
      </c>
      <c r="L90" t="s">
        <v>459</v>
      </c>
      <c r="M90" t="s">
        <v>60</v>
      </c>
      <c r="N90" t="s">
        <v>49</v>
      </c>
      <c r="O90" t="str">
        <f>IF(OR(AND(data!M90='categories 2'!A$2,data!N90='categories 2'!B$2),
       AND(data!M90='categories 2'!A$3,data!N90='categories 2'!B$3),
       AND(data!M90='categories 2'!A$4,data!N90='categories 2'!B$4),
       AND(data!M90='categories 2'!A$5,data!N90='categories 2'!B$5)), "aligned", "MISALIGNED")</f>
        <v>aligned</v>
      </c>
    </row>
    <row r="91" spans="1:17" ht="28.75" customHeight="1" x14ac:dyDescent="0.2">
      <c r="A91" s="16"/>
      <c r="B91" s="13"/>
      <c r="C91" s="13"/>
      <c r="E91" s="13"/>
      <c r="G91" s="13"/>
      <c r="H91" s="13"/>
      <c r="I91">
        <v>3</v>
      </c>
      <c r="K91" s="13">
        <v>2</v>
      </c>
      <c r="L91" t="s">
        <v>460</v>
      </c>
      <c r="M91" t="s">
        <v>60</v>
      </c>
      <c r="N91" t="s">
        <v>49</v>
      </c>
      <c r="O91" t="str">
        <f>IF(OR(AND(data!M91='categories 2'!A$2,data!N91='categories 2'!B$2),
       AND(data!M91='categories 2'!A$3,data!N91='categories 2'!B$3),
       AND(data!M91='categories 2'!A$4,data!N91='categories 2'!B$4),
       AND(data!M91='categories 2'!A$5,data!N91='categories 2'!B$5)), "aligned", "MISALIGNED")</f>
        <v>aligned</v>
      </c>
    </row>
    <row r="92" spans="1:17" ht="28.75" customHeight="1" x14ac:dyDescent="0.2">
      <c r="A92" s="16" t="s">
        <v>196</v>
      </c>
      <c r="B92" s="13" t="s">
        <v>197</v>
      </c>
      <c r="C92" s="13">
        <v>2011</v>
      </c>
      <c r="D92" s="13" t="s">
        <v>198</v>
      </c>
      <c r="E92" s="13" t="s">
        <v>199</v>
      </c>
      <c r="F92" s="13" t="s">
        <v>200</v>
      </c>
      <c r="G92" s="13">
        <v>72</v>
      </c>
      <c r="H92" s="13">
        <v>1</v>
      </c>
      <c r="I92">
        <v>1</v>
      </c>
      <c r="K92">
        <v>1</v>
      </c>
      <c r="L92" t="s">
        <v>497</v>
      </c>
      <c r="M92" t="s">
        <v>61</v>
      </c>
      <c r="N92" t="s">
        <v>64</v>
      </c>
      <c r="O92" t="str">
        <f>IF(OR(AND(data!M92='categories 2'!A$2,data!N92='categories 2'!B$2),
       AND(data!M92='categories 2'!A$3,data!N92='categories 2'!B$3),
       AND(data!M92='categories 2'!A$4,data!N92='categories 2'!B$4),
       AND(data!M92='categories 2'!A$5,data!N92='categories 2'!B$5)), "aligned", "MISALIGNED")</f>
        <v>aligned</v>
      </c>
    </row>
    <row r="93" spans="1:17" s="13" customFormat="1" ht="28.75" customHeight="1" x14ac:dyDescent="0.2">
      <c r="A93" s="16" t="s">
        <v>201</v>
      </c>
      <c r="B93" s="13" t="s">
        <v>202</v>
      </c>
      <c r="C93" s="13">
        <v>2022</v>
      </c>
      <c r="D93" s="13" t="s">
        <v>203</v>
      </c>
      <c r="E93" s="13" t="s">
        <v>199</v>
      </c>
      <c r="F93" s="13" t="s">
        <v>204</v>
      </c>
      <c r="G93" s="13">
        <v>3</v>
      </c>
      <c r="H93" s="13">
        <v>2</v>
      </c>
      <c r="I93" s="13">
        <v>2</v>
      </c>
      <c r="K93" s="13">
        <v>1</v>
      </c>
      <c r="L93" s="13" t="s">
        <v>498</v>
      </c>
      <c r="M93" s="13" t="s">
        <v>61</v>
      </c>
      <c r="N93" s="13" t="s">
        <v>64</v>
      </c>
      <c r="O93" s="13" t="str">
        <f>IF(OR(AND(data!M93='categories 2'!A$2,data!N93='categories 2'!B$2),
       AND(data!M93='categories 2'!A$3,data!N93='categories 2'!B$3),
       AND(data!M93='categories 2'!A$4,data!N93='categories 2'!B$4),
       AND(data!M93='categories 2'!A$5,data!N93='categories 2'!B$5)), "aligned", "MISALIGNED")</f>
        <v>aligned</v>
      </c>
      <c r="P93" s="14"/>
      <c r="Q93" s="14"/>
    </row>
    <row r="94" spans="1:17" s="13" customFormat="1" ht="28.75" customHeight="1" x14ac:dyDescent="0.2">
      <c r="A94" s="16"/>
      <c r="I94" s="13">
        <v>2</v>
      </c>
      <c r="K94" s="13">
        <v>2</v>
      </c>
      <c r="L94" s="13" t="s">
        <v>499</v>
      </c>
      <c r="M94" s="13" t="s">
        <v>61</v>
      </c>
      <c r="N94" s="13" t="s">
        <v>64</v>
      </c>
      <c r="O94" s="13" t="str">
        <f>IF(OR(AND(data!M94='categories 2'!A$2,data!N94='categories 2'!B$2),
       AND(data!M94='categories 2'!A$3,data!N94='categories 2'!B$3),
       AND(data!M94='categories 2'!A$4,data!N94='categories 2'!B$4),
       AND(data!M94='categories 2'!A$5,data!N94='categories 2'!B$5)), "aligned", "MISALIGNED")</f>
        <v>aligned</v>
      </c>
      <c r="P94" s="14"/>
      <c r="Q94" s="14"/>
    </row>
    <row r="95" spans="1:17" s="13" customFormat="1" ht="28.75" customHeight="1" x14ac:dyDescent="0.2">
      <c r="A95" s="16"/>
      <c r="I95" s="13">
        <v>2</v>
      </c>
      <c r="K95" s="13">
        <v>3</v>
      </c>
      <c r="L95" s="13" t="s">
        <v>500</v>
      </c>
      <c r="M95" s="13" t="s">
        <v>61</v>
      </c>
      <c r="N95" s="13" t="s">
        <v>64</v>
      </c>
      <c r="O95" s="13" t="str">
        <f>IF(OR(AND(data!M95='categories 2'!A$2,data!N95='categories 2'!B$2),
       AND(data!M95='categories 2'!A$3,data!N95='categories 2'!B$3),
       AND(data!M95='categories 2'!A$4,data!N95='categories 2'!B$4),
       AND(data!M95='categories 2'!A$5,data!N95='categories 2'!B$5)), "aligned", "MISALIGNED")</f>
        <v>aligned</v>
      </c>
      <c r="P95" s="14"/>
      <c r="Q95" s="14"/>
    </row>
    <row r="96" spans="1:17" ht="28.75" customHeight="1" x14ac:dyDescent="0.2">
      <c r="A96" s="16" t="s">
        <v>205</v>
      </c>
      <c r="B96" s="13" t="s">
        <v>206</v>
      </c>
      <c r="C96" s="13">
        <v>2022</v>
      </c>
      <c r="D96" s="13" t="s">
        <v>207</v>
      </c>
      <c r="E96" s="13" t="s">
        <v>208</v>
      </c>
      <c r="F96" s="13" t="s">
        <v>209</v>
      </c>
      <c r="G96" s="13">
        <v>10</v>
      </c>
      <c r="H96" s="13">
        <v>1</v>
      </c>
      <c r="I96" s="13">
        <v>1</v>
      </c>
      <c r="K96" s="13">
        <v>1</v>
      </c>
      <c r="L96" t="s">
        <v>456</v>
      </c>
      <c r="M96" t="s">
        <v>61</v>
      </c>
      <c r="N96" t="s">
        <v>65</v>
      </c>
      <c r="O96" t="str">
        <f>IF(OR(AND(data!M96='categories 2'!A$2,data!N96='categories 2'!B$2),
       AND(data!M96='categories 2'!A$3,data!N96='categories 2'!B$3),
       AND(data!M96='categories 2'!A$4,data!N96='categories 2'!B$4),
       AND(data!M96='categories 2'!A$5,data!N96='categories 2'!B$5)), "aligned", "MISALIGNED")</f>
        <v>MISALIGNED</v>
      </c>
      <c r="P96" s="8" t="b">
        <v>0</v>
      </c>
      <c r="Q96" s="8" t="b">
        <v>0</v>
      </c>
    </row>
    <row r="97" spans="1:17" ht="28.75" customHeight="1" x14ac:dyDescent="0.2">
      <c r="A97" s="16"/>
      <c r="B97" s="13"/>
      <c r="C97" s="13"/>
      <c r="E97" s="13"/>
      <c r="G97" s="13"/>
      <c r="H97" s="13"/>
      <c r="I97" s="13">
        <v>1</v>
      </c>
      <c r="K97" s="13">
        <v>2</v>
      </c>
      <c r="L97" t="s">
        <v>457</v>
      </c>
      <c r="M97" t="s">
        <v>61</v>
      </c>
      <c r="N97" t="s">
        <v>65</v>
      </c>
      <c r="O97" t="str">
        <f>IF(OR(AND(data!M97='categories 2'!A$2,data!N97='categories 2'!B$2),
       AND(data!M97='categories 2'!A$3,data!N97='categories 2'!B$3),
       AND(data!M97='categories 2'!A$4,data!N97='categories 2'!B$4),
       AND(data!M97='categories 2'!A$5,data!N97='categories 2'!B$5)), "aligned", "MISALIGNED")</f>
        <v>MISALIGNED</v>
      </c>
      <c r="P97" s="8" t="b">
        <v>0</v>
      </c>
      <c r="Q97" s="8" t="b">
        <v>0</v>
      </c>
    </row>
    <row r="98" spans="1:17" ht="28.75" customHeight="1" x14ac:dyDescent="0.2">
      <c r="A98" s="16"/>
      <c r="B98" s="13"/>
      <c r="C98" s="13"/>
      <c r="E98" s="13"/>
      <c r="G98" s="13"/>
      <c r="H98" s="13"/>
      <c r="I98" s="13">
        <v>1</v>
      </c>
      <c r="K98" s="13">
        <v>3</v>
      </c>
      <c r="L98" s="13" t="s">
        <v>458</v>
      </c>
      <c r="M98" t="s">
        <v>60</v>
      </c>
      <c r="N98" t="s">
        <v>65</v>
      </c>
      <c r="O98" t="str">
        <f>IF(OR(AND(data!M98='categories 2'!A$2,data!N98='categories 2'!B$2),
       AND(data!M98='categories 2'!A$3,data!N98='categories 2'!B$3),
       AND(data!M98='categories 2'!A$4,data!N98='categories 2'!B$4),
       AND(data!M98='categories 2'!A$5,data!N98='categories 2'!B$5)), "aligned", "MISALIGNED")</f>
        <v>MISALIGNED</v>
      </c>
      <c r="P98" s="8" t="b">
        <v>0</v>
      </c>
      <c r="Q98" s="8" t="b">
        <v>1</v>
      </c>
    </row>
    <row r="99" spans="1:17" ht="28.75" customHeight="1" x14ac:dyDescent="0.2">
      <c r="A99" s="16" t="s">
        <v>210</v>
      </c>
      <c r="B99" s="13" t="s">
        <v>211</v>
      </c>
      <c r="C99" s="13">
        <v>2010</v>
      </c>
      <c r="D99" s="13" t="s">
        <v>212</v>
      </c>
      <c r="E99" s="13" t="s">
        <v>208</v>
      </c>
      <c r="F99" s="13" t="s">
        <v>213</v>
      </c>
      <c r="G99" s="13">
        <v>90</v>
      </c>
      <c r="H99" s="13">
        <v>2</v>
      </c>
      <c r="I99">
        <v>2</v>
      </c>
      <c r="K99" s="13">
        <v>1</v>
      </c>
      <c r="L99" s="13" t="s">
        <v>385</v>
      </c>
      <c r="M99" t="s">
        <v>61</v>
      </c>
      <c r="N99" t="s">
        <v>64</v>
      </c>
      <c r="O99" t="str">
        <f>IF(OR(AND(data!M99='categories 2'!A$2,data!N99='categories 2'!B$2),
       AND(data!M99='categories 2'!A$3,data!N99='categories 2'!B$3),
       AND(data!M99='categories 2'!A$4,data!N99='categories 2'!B$4),
       AND(data!M99='categories 2'!A$5,data!N99='categories 2'!B$5)), "aligned", "MISALIGNED")</f>
        <v>aligned</v>
      </c>
    </row>
    <row r="100" spans="1:17" ht="28.75" customHeight="1" x14ac:dyDescent="0.2">
      <c r="A100" s="16"/>
      <c r="B100" s="13"/>
      <c r="C100" s="13"/>
      <c r="E100" s="13"/>
      <c r="G100" s="13"/>
      <c r="H100" s="13"/>
      <c r="I100" s="13">
        <v>2</v>
      </c>
      <c r="K100" s="13">
        <v>2</v>
      </c>
      <c r="L100" s="13" t="s">
        <v>386</v>
      </c>
      <c r="M100" t="s">
        <v>60</v>
      </c>
      <c r="N100" t="s">
        <v>49</v>
      </c>
      <c r="O100" t="str">
        <f>IF(OR(AND(data!M100='categories 2'!A$2,data!N100='categories 2'!B$2),
       AND(data!M100='categories 2'!A$3,data!N100='categories 2'!B$3),
       AND(data!M100='categories 2'!A$4,data!N100='categories 2'!B$4),
       AND(data!M100='categories 2'!A$5,data!N100='categories 2'!B$5)), "aligned", "MISALIGNED")</f>
        <v>aligned</v>
      </c>
    </row>
    <row r="101" spans="1:17" ht="28.75" customHeight="1" x14ac:dyDescent="0.2">
      <c r="A101" s="16" t="s">
        <v>214</v>
      </c>
      <c r="B101" s="13" t="s">
        <v>215</v>
      </c>
      <c r="C101" s="13">
        <v>2014</v>
      </c>
      <c r="D101" s="13" t="s">
        <v>216</v>
      </c>
      <c r="E101" s="13" t="s">
        <v>217</v>
      </c>
      <c r="F101" s="13" t="s">
        <v>218</v>
      </c>
      <c r="G101" s="13">
        <v>17</v>
      </c>
      <c r="H101" s="13">
        <v>1</v>
      </c>
      <c r="I101" s="13">
        <v>1</v>
      </c>
      <c r="K101" s="13">
        <v>1</v>
      </c>
      <c r="L101" t="s">
        <v>501</v>
      </c>
      <c r="M101" t="s">
        <v>61</v>
      </c>
      <c r="N101" t="s">
        <v>64</v>
      </c>
      <c r="O101" t="str">
        <f>IF(OR(AND(data!M101='categories 2'!A$2,data!N101='categories 2'!B$2),
       AND(data!M101='categories 2'!A$3,data!N101='categories 2'!B$3),
       AND(data!M101='categories 2'!A$4,data!N101='categories 2'!B$4),
       AND(data!M101='categories 2'!A$5,data!N101='categories 2'!B$5)), "aligned", "MISALIGNED")</f>
        <v>aligned</v>
      </c>
    </row>
    <row r="102" spans="1:17" ht="28.75" customHeight="1" x14ac:dyDescent="0.2">
      <c r="A102" s="16"/>
      <c r="B102" s="13"/>
      <c r="C102" s="13"/>
      <c r="E102" s="13"/>
      <c r="G102" s="13"/>
      <c r="H102" s="13"/>
      <c r="I102" s="13">
        <v>1</v>
      </c>
      <c r="K102" s="13">
        <v>2</v>
      </c>
      <c r="L102" t="s">
        <v>502</v>
      </c>
      <c r="M102" t="s">
        <v>61</v>
      </c>
      <c r="N102" t="s">
        <v>54</v>
      </c>
      <c r="O102" t="str">
        <f>IF(OR(AND(data!M102='categories 2'!A$2,data!N102='categories 2'!B$2),
       AND(data!M102='categories 2'!A$3,data!N102='categories 2'!B$3),
       AND(data!M102='categories 2'!A$4,data!N102='categories 2'!B$4),
       AND(data!M102='categories 2'!A$5,data!N102='categories 2'!B$5)), "aligned", "MISALIGNED")</f>
        <v>MISALIGNED</v>
      </c>
    </row>
    <row r="103" spans="1:17" ht="28.75" customHeight="1" x14ac:dyDescent="0.2">
      <c r="A103" s="16"/>
      <c r="B103" s="13"/>
      <c r="C103" s="13"/>
      <c r="E103" s="13"/>
      <c r="G103" s="13"/>
      <c r="H103" s="13"/>
      <c r="I103" s="13">
        <v>1</v>
      </c>
      <c r="K103" s="13">
        <v>3</v>
      </c>
      <c r="L103" t="s">
        <v>503</v>
      </c>
      <c r="M103" t="s">
        <v>61</v>
      </c>
      <c r="N103" t="s">
        <v>54</v>
      </c>
      <c r="O103" t="str">
        <f>IF(OR(AND(data!M103='categories 2'!A$2,data!N103='categories 2'!B$2),
       AND(data!M103='categories 2'!A$3,data!N103='categories 2'!B$3),
       AND(data!M103='categories 2'!A$4,data!N103='categories 2'!B$4),
       AND(data!M103='categories 2'!A$5,data!N103='categories 2'!B$5)), "aligned", "MISALIGNED")</f>
        <v>MISALIGNED</v>
      </c>
    </row>
    <row r="104" spans="1:17" ht="28.75" customHeight="1" x14ac:dyDescent="0.2">
      <c r="A104" s="16"/>
      <c r="B104" s="13"/>
      <c r="C104" s="13"/>
      <c r="E104" s="13"/>
      <c r="G104" s="13"/>
      <c r="H104" s="13"/>
      <c r="I104" s="13">
        <v>1</v>
      </c>
      <c r="K104" s="13">
        <v>4</v>
      </c>
      <c r="L104" t="s">
        <v>504</v>
      </c>
      <c r="M104" t="s">
        <v>61</v>
      </c>
      <c r="N104" t="s">
        <v>68</v>
      </c>
      <c r="O104" t="str">
        <f>IF(OR(AND(data!M104='categories 2'!A$2,data!N104='categories 2'!B$2),
       AND(data!M104='categories 2'!A$3,data!N104='categories 2'!B$3),
       AND(data!M104='categories 2'!A$4,data!N104='categories 2'!B$4),
       AND(data!M104='categories 2'!A$5,data!N104='categories 2'!B$5)), "aligned", "MISALIGNED")</f>
        <v>MISALIGNED</v>
      </c>
    </row>
    <row r="105" spans="1:17" ht="28.75" customHeight="1" x14ac:dyDescent="0.2">
      <c r="A105" s="16"/>
      <c r="B105" s="13"/>
      <c r="C105" s="13"/>
      <c r="E105" s="13"/>
      <c r="G105" s="13"/>
      <c r="H105" s="13"/>
      <c r="I105" s="13">
        <v>1</v>
      </c>
      <c r="K105" s="13">
        <v>5</v>
      </c>
      <c r="L105" t="s">
        <v>389</v>
      </c>
      <c r="M105" t="s">
        <v>61</v>
      </c>
      <c r="N105" t="s">
        <v>68</v>
      </c>
      <c r="O105" t="str">
        <f>IF(OR(AND(data!M105='categories 2'!A$2,data!N105='categories 2'!B$2),
       AND(data!M105='categories 2'!A$3,data!N105='categories 2'!B$3),
       AND(data!M105='categories 2'!A$4,data!N105='categories 2'!B$4),
       AND(data!M105='categories 2'!A$5,data!N105='categories 2'!B$5)), "aligned", "MISALIGNED")</f>
        <v>MISALIGNED</v>
      </c>
    </row>
    <row r="106" spans="1:17" ht="28.75" customHeight="1" x14ac:dyDescent="0.2">
      <c r="A106" s="16"/>
      <c r="B106" s="13"/>
      <c r="C106" s="13"/>
      <c r="E106" s="13"/>
      <c r="G106" s="13"/>
      <c r="H106" s="13"/>
      <c r="I106" s="13">
        <v>1</v>
      </c>
      <c r="K106" s="13">
        <v>6</v>
      </c>
      <c r="L106" t="s">
        <v>387</v>
      </c>
      <c r="M106" t="s">
        <v>61</v>
      </c>
      <c r="N106" t="s">
        <v>68</v>
      </c>
      <c r="O106" t="str">
        <f>IF(OR(AND(data!M106='categories 2'!A$2,data!N106='categories 2'!B$2),
       AND(data!M106='categories 2'!A$3,data!N106='categories 2'!B$3),
       AND(data!M106='categories 2'!A$4,data!N106='categories 2'!B$4),
       AND(data!M106='categories 2'!A$5,data!N106='categories 2'!B$5)), "aligned", "MISALIGNED")</f>
        <v>MISALIGNED</v>
      </c>
    </row>
    <row r="107" spans="1:17" ht="28.75" customHeight="1" x14ac:dyDescent="0.2">
      <c r="A107" s="16"/>
      <c r="B107" s="13"/>
      <c r="C107" s="13"/>
      <c r="E107" s="13"/>
      <c r="G107" s="13"/>
      <c r="H107" s="13"/>
      <c r="I107" s="13">
        <v>1</v>
      </c>
      <c r="K107" s="13">
        <v>7</v>
      </c>
      <c r="L107" t="s">
        <v>388</v>
      </c>
      <c r="M107" t="s">
        <v>61</v>
      </c>
      <c r="N107" t="s">
        <v>68</v>
      </c>
      <c r="O107" t="str">
        <f>IF(OR(AND(data!M107='categories 2'!A$2,data!N107='categories 2'!B$2),
       AND(data!M107='categories 2'!A$3,data!N107='categories 2'!B$3),
       AND(data!M107='categories 2'!A$4,data!N107='categories 2'!B$4),
       AND(data!M107='categories 2'!A$5,data!N107='categories 2'!B$5)), "aligned", "MISALIGNED")</f>
        <v>MISALIGNED</v>
      </c>
    </row>
    <row r="108" spans="1:17" ht="28.75" customHeight="1" x14ac:dyDescent="0.2">
      <c r="A108" s="16" t="s">
        <v>219</v>
      </c>
      <c r="B108" s="13" t="s">
        <v>220</v>
      </c>
      <c r="C108" s="13">
        <v>2021</v>
      </c>
      <c r="D108" s="13" t="s">
        <v>221</v>
      </c>
      <c r="E108" s="13" t="s">
        <v>217</v>
      </c>
      <c r="F108" s="13" t="s">
        <v>222</v>
      </c>
      <c r="G108" s="13">
        <v>28</v>
      </c>
      <c r="H108" s="13">
        <v>2</v>
      </c>
      <c r="I108" s="13">
        <v>1</v>
      </c>
      <c r="K108" s="13">
        <v>1</v>
      </c>
      <c r="L108" s="13" t="s">
        <v>505</v>
      </c>
      <c r="M108" t="s">
        <v>61</v>
      </c>
      <c r="N108" t="s">
        <v>64</v>
      </c>
      <c r="O108" t="str">
        <f>IF(OR(AND(data!M108='categories 2'!A$2,data!N108='categories 2'!B$2),
       AND(data!M108='categories 2'!A$3,data!N108='categories 2'!B$3),
       AND(data!M108='categories 2'!A$4,data!N108='categories 2'!B$4),
       AND(data!M108='categories 2'!A$5,data!N108='categories 2'!B$5)), "aligned", "MISALIGNED")</f>
        <v>aligned</v>
      </c>
    </row>
    <row r="109" spans="1:17" ht="28.75" customHeight="1" x14ac:dyDescent="0.2">
      <c r="A109" s="16"/>
      <c r="B109" s="13"/>
      <c r="C109" s="13"/>
      <c r="E109" s="13"/>
      <c r="G109" s="13"/>
      <c r="H109" s="13"/>
      <c r="I109" s="13">
        <v>1</v>
      </c>
      <c r="K109" s="13">
        <v>2</v>
      </c>
      <c r="L109" s="13" t="s">
        <v>506</v>
      </c>
      <c r="M109" t="s">
        <v>61</v>
      </c>
      <c r="N109" t="s">
        <v>64</v>
      </c>
      <c r="O109" t="str">
        <f>IF(OR(AND(data!M109='categories 2'!A$2,data!N109='categories 2'!B$2),
       AND(data!M109='categories 2'!A$3,data!N109='categories 2'!B$3),
       AND(data!M109='categories 2'!A$4,data!N109='categories 2'!B$4),
       AND(data!M109='categories 2'!A$5,data!N109='categories 2'!B$5)), "aligned", "MISALIGNED")</f>
        <v>aligned</v>
      </c>
    </row>
    <row r="110" spans="1:17" ht="28.75" customHeight="1" x14ac:dyDescent="0.2">
      <c r="A110" s="16"/>
      <c r="B110" s="13"/>
      <c r="C110" s="13"/>
      <c r="E110" s="13"/>
      <c r="G110" s="13"/>
      <c r="H110" s="13"/>
      <c r="I110" s="13">
        <v>1</v>
      </c>
      <c r="K110" s="13">
        <v>3</v>
      </c>
      <c r="L110" s="13" t="s">
        <v>507</v>
      </c>
      <c r="M110" t="s">
        <v>61</v>
      </c>
      <c r="N110" t="s">
        <v>65</v>
      </c>
      <c r="O110" t="str">
        <f>IF(OR(AND(data!M110='categories 2'!A$2,data!N110='categories 2'!B$2),
       AND(data!M110='categories 2'!A$3,data!N110='categories 2'!B$3),
       AND(data!M110='categories 2'!A$4,data!N110='categories 2'!B$4),
       AND(data!M110='categories 2'!A$5,data!N110='categories 2'!B$5)), "aligned", "MISALIGNED")</f>
        <v>MISALIGNED</v>
      </c>
      <c r="P110" s="8" t="b">
        <v>0</v>
      </c>
      <c r="Q110" s="8" t="b">
        <v>1</v>
      </c>
    </row>
    <row r="111" spans="1:17" ht="28.75" customHeight="1" x14ac:dyDescent="0.2">
      <c r="A111" s="16" t="s">
        <v>223</v>
      </c>
      <c r="B111" s="13" t="s">
        <v>224</v>
      </c>
      <c r="C111" s="13">
        <v>2019</v>
      </c>
      <c r="D111" s="13" t="s">
        <v>225</v>
      </c>
      <c r="E111" s="13" t="s">
        <v>226</v>
      </c>
      <c r="F111" s="13" t="s">
        <v>227</v>
      </c>
      <c r="G111" s="13">
        <v>15</v>
      </c>
      <c r="H111" s="13">
        <v>1</v>
      </c>
      <c r="I111" s="13">
        <v>1</v>
      </c>
      <c r="K111" s="13">
        <v>1</v>
      </c>
      <c r="L111" t="s">
        <v>390</v>
      </c>
      <c r="M111" t="s">
        <v>61</v>
      </c>
      <c r="N111" t="s">
        <v>64</v>
      </c>
      <c r="O111" t="str">
        <f>IF(OR(AND(data!M111='categories 2'!A$2,data!N111='categories 2'!B$2),
       AND(data!M111='categories 2'!A$3,data!N111='categories 2'!B$3),
       AND(data!M111='categories 2'!A$4,data!N111='categories 2'!B$4),
       AND(data!M111='categories 2'!A$5,data!N111='categories 2'!B$5)), "aligned", "MISALIGNED")</f>
        <v>aligned</v>
      </c>
    </row>
    <row r="112" spans="1:17" ht="28.75" customHeight="1" x14ac:dyDescent="0.2">
      <c r="A112" s="16"/>
      <c r="B112" s="13"/>
      <c r="C112" s="13"/>
      <c r="E112" s="13"/>
      <c r="G112" s="13"/>
      <c r="H112" s="13"/>
      <c r="I112" s="13">
        <v>1</v>
      </c>
      <c r="K112" s="13">
        <v>3</v>
      </c>
      <c r="L112" t="s">
        <v>508</v>
      </c>
      <c r="M112" t="s">
        <v>61</v>
      </c>
      <c r="N112" t="s">
        <v>65</v>
      </c>
      <c r="O112" t="str">
        <f>IF(OR(AND(data!M112='categories 2'!A$2,data!N112='categories 2'!B$2),
       AND(data!M112='categories 2'!A$3,data!N112='categories 2'!B$3),
       AND(data!M112='categories 2'!A$4,data!N112='categories 2'!B$4),
       AND(data!M112='categories 2'!A$5,data!N112='categories 2'!B$5)), "aligned", "MISALIGNED")</f>
        <v>MISALIGNED</v>
      </c>
    </row>
    <row r="113" spans="1:17" ht="28.75" customHeight="1" x14ac:dyDescent="0.2">
      <c r="A113" s="16"/>
      <c r="B113" s="13"/>
      <c r="C113" s="13"/>
      <c r="E113" s="13"/>
      <c r="G113" s="13"/>
      <c r="H113" s="13"/>
      <c r="I113" s="13">
        <v>1</v>
      </c>
      <c r="K113" s="13">
        <v>4</v>
      </c>
      <c r="L113" t="s">
        <v>509</v>
      </c>
      <c r="M113" t="s">
        <v>61</v>
      </c>
      <c r="N113" t="s">
        <v>64</v>
      </c>
      <c r="O113" t="str">
        <f>IF(OR(AND(data!M113='categories 2'!A$2,data!N113='categories 2'!B$2),
       AND(data!M113='categories 2'!A$3,data!N113='categories 2'!B$3),
       AND(data!M113='categories 2'!A$4,data!N113='categories 2'!B$4),
       AND(data!M113='categories 2'!A$5,data!N113='categories 2'!B$5)), "aligned", "MISALIGNED")</f>
        <v>aligned</v>
      </c>
    </row>
    <row r="114" spans="1:17" ht="28.75" customHeight="1" x14ac:dyDescent="0.2">
      <c r="A114" s="16"/>
      <c r="B114" s="13"/>
      <c r="C114" s="13"/>
      <c r="E114" s="13"/>
      <c r="G114" s="13"/>
      <c r="H114" s="13"/>
      <c r="I114" s="13">
        <v>1</v>
      </c>
      <c r="K114" s="13">
        <v>5</v>
      </c>
      <c r="L114" t="s">
        <v>391</v>
      </c>
      <c r="M114" t="s">
        <v>61</v>
      </c>
      <c r="N114" t="s">
        <v>64</v>
      </c>
      <c r="O114" t="str">
        <f>IF(OR(AND(data!M114='categories 2'!A$2,data!N114='categories 2'!B$2),
       AND(data!M114='categories 2'!A$3,data!N114='categories 2'!B$3),
       AND(data!M114='categories 2'!A$4,data!N114='categories 2'!B$4),
       AND(data!M114='categories 2'!A$5,data!N114='categories 2'!B$5)), "aligned", "MISALIGNED")</f>
        <v>aligned</v>
      </c>
    </row>
    <row r="115" spans="1:17" ht="28.75" customHeight="1" x14ac:dyDescent="0.2">
      <c r="A115" s="16"/>
      <c r="B115" s="13"/>
      <c r="C115" s="13"/>
      <c r="E115" s="13"/>
      <c r="G115" s="13"/>
      <c r="H115" s="13"/>
      <c r="I115" s="13">
        <v>1</v>
      </c>
      <c r="K115" s="13">
        <v>6</v>
      </c>
      <c r="L115" t="s">
        <v>392</v>
      </c>
      <c r="M115" t="s">
        <v>61</v>
      </c>
      <c r="N115" t="s">
        <v>64</v>
      </c>
      <c r="O115" t="str">
        <f>IF(OR(AND(data!M115='categories 2'!A$2,data!N115='categories 2'!B$2),
       AND(data!M115='categories 2'!A$3,data!N115='categories 2'!B$3),
       AND(data!M115='categories 2'!A$4,data!N115='categories 2'!B$4),
       AND(data!M115='categories 2'!A$5,data!N115='categories 2'!B$5)), "aligned", "MISALIGNED")</f>
        <v>aligned</v>
      </c>
    </row>
    <row r="116" spans="1:17" ht="28.75" customHeight="1" x14ac:dyDescent="0.2">
      <c r="A116" s="16"/>
      <c r="B116" s="13"/>
      <c r="C116" s="13"/>
      <c r="E116" s="13"/>
      <c r="G116" s="13"/>
      <c r="H116" s="13"/>
      <c r="I116" s="13">
        <v>1</v>
      </c>
      <c r="K116" s="13">
        <v>7</v>
      </c>
      <c r="L116" t="s">
        <v>393</v>
      </c>
      <c r="M116" t="s">
        <v>61</v>
      </c>
      <c r="N116" t="s">
        <v>64</v>
      </c>
      <c r="O116" t="str">
        <f>IF(OR(AND(data!M116='categories 2'!A$2,data!N116='categories 2'!B$2),
       AND(data!M116='categories 2'!A$3,data!N116='categories 2'!B$3),
       AND(data!M116='categories 2'!A$4,data!N116='categories 2'!B$4),
       AND(data!M116='categories 2'!A$5,data!N116='categories 2'!B$5)), "aligned", "MISALIGNED")</f>
        <v>aligned</v>
      </c>
    </row>
    <row r="117" spans="1:17" ht="28.75" customHeight="1" x14ac:dyDescent="0.2">
      <c r="A117" s="16"/>
      <c r="B117" s="13"/>
      <c r="C117" s="13"/>
      <c r="E117" s="13"/>
      <c r="G117" s="13"/>
      <c r="H117" s="13"/>
      <c r="I117" s="13">
        <v>1</v>
      </c>
      <c r="K117" s="13">
        <v>8</v>
      </c>
      <c r="L117" t="s">
        <v>388</v>
      </c>
      <c r="M117" t="s">
        <v>61</v>
      </c>
      <c r="N117" t="s">
        <v>64</v>
      </c>
      <c r="O117" t="str">
        <f>IF(OR(AND(data!M117='categories 2'!A$2,data!N117='categories 2'!B$2),
       AND(data!M117='categories 2'!A$3,data!N117='categories 2'!B$3),
       AND(data!M117='categories 2'!A$4,data!N117='categories 2'!B$4),
       AND(data!M117='categories 2'!A$5,data!N117='categories 2'!B$5)), "aligned", "MISALIGNED")</f>
        <v>aligned</v>
      </c>
    </row>
    <row r="118" spans="1:17" ht="28.75" customHeight="1" x14ac:dyDescent="0.2">
      <c r="A118" s="16"/>
      <c r="B118" s="13"/>
      <c r="C118" s="13"/>
      <c r="E118" s="13"/>
      <c r="G118" s="13"/>
      <c r="H118" s="13"/>
      <c r="I118" s="13">
        <v>1</v>
      </c>
      <c r="K118" s="13">
        <v>9</v>
      </c>
      <c r="L118" t="s">
        <v>394</v>
      </c>
      <c r="M118" t="s">
        <v>61</v>
      </c>
      <c r="N118" t="s">
        <v>64</v>
      </c>
      <c r="O118" t="str">
        <f>IF(OR(AND(data!M118='categories 2'!A$2,data!N118='categories 2'!B$2),
       AND(data!M118='categories 2'!A$3,data!N118='categories 2'!B$3),
       AND(data!M118='categories 2'!A$4,data!N118='categories 2'!B$4),
       AND(data!M118='categories 2'!A$5,data!N118='categories 2'!B$5)), "aligned", "MISALIGNED")</f>
        <v>aligned</v>
      </c>
    </row>
    <row r="119" spans="1:17" ht="28.75" customHeight="1" x14ac:dyDescent="0.2">
      <c r="A119" s="16"/>
      <c r="B119" s="13"/>
      <c r="C119" s="13"/>
      <c r="E119" s="13"/>
      <c r="G119" s="13"/>
      <c r="H119" s="13"/>
      <c r="I119" s="13">
        <v>1</v>
      </c>
      <c r="K119" s="13">
        <v>10</v>
      </c>
      <c r="L119" t="s">
        <v>395</v>
      </c>
      <c r="M119" t="s">
        <v>61</v>
      </c>
      <c r="N119" t="s">
        <v>64</v>
      </c>
      <c r="O119" t="str">
        <f>IF(OR(AND(data!M119='categories 2'!A$2,data!N119='categories 2'!B$2),
       AND(data!M119='categories 2'!A$3,data!N119='categories 2'!B$3),
       AND(data!M119='categories 2'!A$4,data!N119='categories 2'!B$4),
       AND(data!M119='categories 2'!A$5,data!N119='categories 2'!B$5)), "aligned", "MISALIGNED")</f>
        <v>aligned</v>
      </c>
    </row>
    <row r="120" spans="1:17" ht="28.75" customHeight="1" x14ac:dyDescent="0.2">
      <c r="A120" s="16"/>
      <c r="B120" s="13"/>
      <c r="C120" s="13"/>
      <c r="E120" s="13"/>
      <c r="G120" s="13"/>
      <c r="H120" s="13"/>
      <c r="I120" s="13">
        <v>1</v>
      </c>
      <c r="K120" s="13">
        <v>11</v>
      </c>
      <c r="L120" t="s">
        <v>396</v>
      </c>
      <c r="M120" t="s">
        <v>61</v>
      </c>
      <c r="N120" t="s">
        <v>65</v>
      </c>
      <c r="O120" t="str">
        <f>IF(OR(AND(data!M120='categories 2'!A$2,data!N120='categories 2'!B$2),
       AND(data!M120='categories 2'!A$3,data!N120='categories 2'!B$3),
       AND(data!M120='categories 2'!A$4,data!N120='categories 2'!B$4),
       AND(data!M120='categories 2'!A$5,data!N120='categories 2'!B$5)), "aligned", "MISALIGNED")</f>
        <v>MISALIGNED</v>
      </c>
      <c r="P120" s="8" t="b">
        <v>0</v>
      </c>
      <c r="Q120" s="8" t="b">
        <v>0</v>
      </c>
    </row>
    <row r="121" spans="1:17" ht="28.75" customHeight="1" x14ac:dyDescent="0.2">
      <c r="A121" s="16" t="s">
        <v>228</v>
      </c>
      <c r="B121" s="13" t="s">
        <v>229</v>
      </c>
      <c r="C121" s="13">
        <v>2013</v>
      </c>
      <c r="D121" s="13" t="s">
        <v>230</v>
      </c>
      <c r="E121" s="13" t="s">
        <v>226</v>
      </c>
      <c r="F121" s="13" t="s">
        <v>231</v>
      </c>
      <c r="G121" s="13">
        <v>78</v>
      </c>
      <c r="H121" s="13">
        <v>2</v>
      </c>
      <c r="I121" s="13">
        <v>1</v>
      </c>
      <c r="K121" s="13">
        <v>1</v>
      </c>
      <c r="L121" t="s">
        <v>397</v>
      </c>
      <c r="M121" t="s">
        <v>61</v>
      </c>
      <c r="N121" t="s">
        <v>65</v>
      </c>
      <c r="O121" t="str">
        <f>IF(OR(AND(data!M121='categories 2'!A$2,data!N121='categories 2'!B$2),
       AND(data!M121='categories 2'!A$3,data!N121='categories 2'!B$3),
       AND(data!M121='categories 2'!A$4,data!N121='categories 2'!B$4),
       AND(data!M121='categories 2'!A$5,data!N121='categories 2'!B$5)), "aligned", "MISALIGNED")</f>
        <v>MISALIGNED</v>
      </c>
      <c r="P121" s="8" t="b">
        <v>0</v>
      </c>
      <c r="Q121" s="8" t="b">
        <v>0</v>
      </c>
    </row>
    <row r="122" spans="1:17" ht="28.75" customHeight="1" x14ac:dyDescent="0.2">
      <c r="A122" s="16"/>
      <c r="B122" s="13"/>
      <c r="C122" s="13"/>
      <c r="E122" s="13"/>
      <c r="G122" s="13"/>
      <c r="H122" s="13"/>
      <c r="I122" s="13">
        <v>1</v>
      </c>
      <c r="K122" s="13">
        <v>2</v>
      </c>
      <c r="L122" t="s">
        <v>510</v>
      </c>
      <c r="M122" t="s">
        <v>61</v>
      </c>
      <c r="N122" t="s">
        <v>64</v>
      </c>
      <c r="O122" t="str">
        <f>IF(OR(AND(data!M122='categories 2'!A$2,data!N122='categories 2'!B$2),
       AND(data!M122='categories 2'!A$3,data!N122='categories 2'!B$3),
       AND(data!M122='categories 2'!A$4,data!N122='categories 2'!B$4),
       AND(data!M122='categories 2'!A$5,data!N122='categories 2'!B$5)), "aligned", "MISALIGNED")</f>
        <v>aligned</v>
      </c>
    </row>
    <row r="123" spans="1:17" ht="28.75" customHeight="1" x14ac:dyDescent="0.2">
      <c r="A123" s="16"/>
      <c r="B123" s="13"/>
      <c r="C123" s="13"/>
      <c r="E123" s="13"/>
      <c r="G123" s="13"/>
      <c r="H123" s="13"/>
      <c r="I123" s="13">
        <v>1</v>
      </c>
      <c r="K123" s="13">
        <v>3</v>
      </c>
      <c r="L123" t="s">
        <v>398</v>
      </c>
      <c r="M123" t="s">
        <v>61</v>
      </c>
      <c r="N123" t="s">
        <v>64</v>
      </c>
      <c r="O123" t="str">
        <f>IF(OR(AND(data!M123='categories 2'!A$2,data!N123='categories 2'!B$2),
       AND(data!M123='categories 2'!A$3,data!N123='categories 2'!B$3),
       AND(data!M123='categories 2'!A$4,data!N123='categories 2'!B$4),
       AND(data!M123='categories 2'!A$5,data!N123='categories 2'!B$5)), "aligned", "MISALIGNED")</f>
        <v>aligned</v>
      </c>
    </row>
    <row r="124" spans="1:17" ht="28.75" customHeight="1" x14ac:dyDescent="0.2">
      <c r="A124" s="16" t="s">
        <v>232</v>
      </c>
      <c r="B124" s="13" t="s">
        <v>233</v>
      </c>
      <c r="C124" s="13">
        <v>2007</v>
      </c>
      <c r="D124" s="13" t="s">
        <v>234</v>
      </c>
      <c r="E124" s="13" t="s">
        <v>235</v>
      </c>
      <c r="F124" s="13" t="s">
        <v>236</v>
      </c>
      <c r="G124" s="13">
        <v>22</v>
      </c>
      <c r="H124" s="13">
        <v>1</v>
      </c>
      <c r="I124" s="13">
        <v>1</v>
      </c>
      <c r="K124" s="13">
        <v>1</v>
      </c>
      <c r="L124" t="s">
        <v>399</v>
      </c>
      <c r="M124" t="s">
        <v>61</v>
      </c>
      <c r="N124" t="s">
        <v>65</v>
      </c>
      <c r="O124" t="str">
        <f>IF(OR(AND(data!M124='categories 2'!A$2,data!N124='categories 2'!B$2),
       AND(data!M124='categories 2'!A$3,data!N124='categories 2'!B$3),
       AND(data!M124='categories 2'!A$4,data!N124='categories 2'!B$4),
       AND(data!M124='categories 2'!A$5,data!N124='categories 2'!B$5)), "aligned", "MISALIGNED")</f>
        <v>MISALIGNED</v>
      </c>
    </row>
    <row r="125" spans="1:17" ht="28.75" customHeight="1" x14ac:dyDescent="0.2">
      <c r="A125" s="16"/>
      <c r="B125" s="13"/>
      <c r="C125" s="13"/>
      <c r="E125" s="13"/>
      <c r="G125" s="13"/>
      <c r="H125" s="13"/>
      <c r="I125" s="13">
        <v>1</v>
      </c>
      <c r="K125" s="13">
        <v>2</v>
      </c>
      <c r="L125" t="s">
        <v>400</v>
      </c>
      <c r="M125" t="s">
        <v>61</v>
      </c>
      <c r="N125" t="s">
        <v>64</v>
      </c>
      <c r="O125" t="str">
        <f>IF(OR(AND(data!M125='categories 2'!A$2,data!N125='categories 2'!B$2),
       AND(data!M125='categories 2'!A$3,data!N125='categories 2'!B$3),
       AND(data!M125='categories 2'!A$4,data!N125='categories 2'!B$4),
       AND(data!M125='categories 2'!A$5,data!N125='categories 2'!B$5)), "aligned", "MISALIGNED")</f>
        <v>aligned</v>
      </c>
    </row>
    <row r="126" spans="1:17" ht="28.75" customHeight="1" x14ac:dyDescent="0.2">
      <c r="A126" s="16"/>
      <c r="B126" s="13"/>
      <c r="C126" s="13"/>
      <c r="E126" s="13"/>
      <c r="G126" s="13"/>
      <c r="H126" s="13"/>
      <c r="I126" s="13">
        <v>1</v>
      </c>
      <c r="K126" s="13">
        <v>3</v>
      </c>
      <c r="L126" t="s">
        <v>401</v>
      </c>
      <c r="M126" t="s">
        <v>61</v>
      </c>
      <c r="N126" t="s">
        <v>65</v>
      </c>
      <c r="O126" t="str">
        <f>IF(OR(AND(data!M126='categories 2'!A$2,data!N126='categories 2'!B$2),
       AND(data!M126='categories 2'!A$3,data!N126='categories 2'!B$3),
       AND(data!M126='categories 2'!A$4,data!N126='categories 2'!B$4),
       AND(data!M126='categories 2'!A$5,data!N126='categories 2'!B$5)), "aligned", "MISALIGNED")</f>
        <v>MISALIGNED</v>
      </c>
      <c r="P126" s="8" t="b">
        <v>0</v>
      </c>
      <c r="Q126" s="8" t="b">
        <v>0</v>
      </c>
    </row>
    <row r="127" spans="1:17" ht="28.75" customHeight="1" x14ac:dyDescent="0.2">
      <c r="A127" s="16"/>
      <c r="B127" s="13"/>
      <c r="C127" s="13"/>
      <c r="E127" s="13"/>
      <c r="G127" s="13"/>
      <c r="H127" s="13"/>
      <c r="I127" s="13">
        <v>1</v>
      </c>
      <c r="K127" s="13">
        <v>4</v>
      </c>
      <c r="L127" t="s">
        <v>406</v>
      </c>
      <c r="M127" t="s">
        <v>61</v>
      </c>
      <c r="N127" t="s">
        <v>65</v>
      </c>
      <c r="O127" t="str">
        <f>IF(OR(AND(data!M127='categories 2'!A$2,data!N127='categories 2'!B$2),
       AND(data!M127='categories 2'!A$3,data!N127='categories 2'!B$3),
       AND(data!M127='categories 2'!A$4,data!N127='categories 2'!B$4),
       AND(data!M127='categories 2'!A$5,data!N127='categories 2'!B$5)), "aligned", "MISALIGNED")</f>
        <v>MISALIGNED</v>
      </c>
      <c r="P127" s="8" t="b">
        <v>0</v>
      </c>
      <c r="Q127" s="8" t="b">
        <v>0</v>
      </c>
    </row>
    <row r="128" spans="1:17" ht="28.75" customHeight="1" x14ac:dyDescent="0.2">
      <c r="A128" s="16"/>
      <c r="B128" s="13"/>
      <c r="C128" s="13"/>
      <c r="E128" s="13"/>
      <c r="G128" s="13"/>
      <c r="H128" s="13"/>
      <c r="I128" s="13">
        <v>1</v>
      </c>
      <c r="K128" s="13">
        <v>5</v>
      </c>
      <c r="L128" t="s">
        <v>402</v>
      </c>
      <c r="M128" t="s">
        <v>61</v>
      </c>
      <c r="N128" t="s">
        <v>64</v>
      </c>
      <c r="O128" t="str">
        <f>IF(OR(AND(data!M128='categories 2'!A$2,data!N128='categories 2'!B$2),
       AND(data!M128='categories 2'!A$3,data!N128='categories 2'!B$3),
       AND(data!M128='categories 2'!A$4,data!N128='categories 2'!B$4),
       AND(data!M128='categories 2'!A$5,data!N128='categories 2'!B$5)), "aligned", "MISALIGNED")</f>
        <v>aligned</v>
      </c>
    </row>
    <row r="129" spans="1:17" ht="28.75" customHeight="1" x14ac:dyDescent="0.2">
      <c r="A129" s="16"/>
      <c r="B129" s="13"/>
      <c r="C129" s="13"/>
      <c r="E129" s="13"/>
      <c r="G129" s="13"/>
      <c r="H129" s="13"/>
      <c r="I129" s="13">
        <v>1</v>
      </c>
      <c r="K129" s="13">
        <v>6</v>
      </c>
      <c r="L129" t="s">
        <v>403</v>
      </c>
      <c r="M129" t="s">
        <v>61</v>
      </c>
      <c r="N129" t="s">
        <v>50</v>
      </c>
      <c r="O129" t="str">
        <f>IF(OR(AND(data!M129='categories 2'!A$2,data!N129='categories 2'!B$2),
       AND(data!M129='categories 2'!A$3,data!N129='categories 2'!B$3),
       AND(data!M129='categories 2'!A$4,data!N129='categories 2'!B$4),
       AND(data!M129='categories 2'!A$5,data!N129='categories 2'!B$5)), "aligned", "MISALIGNED")</f>
        <v>MISALIGNED</v>
      </c>
    </row>
    <row r="130" spans="1:17" ht="28.75" customHeight="1" x14ac:dyDescent="0.2">
      <c r="A130" s="16"/>
      <c r="B130" s="13"/>
      <c r="C130" s="13"/>
      <c r="E130" s="13"/>
      <c r="G130" s="13"/>
      <c r="H130" s="13"/>
      <c r="I130" s="13">
        <v>1</v>
      </c>
      <c r="K130" s="13">
        <v>7</v>
      </c>
      <c r="L130" t="s">
        <v>404</v>
      </c>
      <c r="M130" t="s">
        <v>61</v>
      </c>
      <c r="N130" t="s">
        <v>64</v>
      </c>
      <c r="O130" t="str">
        <f>IF(OR(AND(data!M130='categories 2'!A$2,data!N130='categories 2'!B$2),
       AND(data!M130='categories 2'!A$3,data!N130='categories 2'!B$3),
       AND(data!M130='categories 2'!A$4,data!N130='categories 2'!B$4),
       AND(data!M130='categories 2'!A$5,data!N130='categories 2'!B$5)), "aligned", "MISALIGNED")</f>
        <v>aligned</v>
      </c>
    </row>
    <row r="131" spans="1:17" ht="28.75" customHeight="1" x14ac:dyDescent="0.2">
      <c r="A131" s="16"/>
      <c r="B131" s="13"/>
      <c r="C131" s="13"/>
      <c r="E131" s="13"/>
      <c r="G131" s="13"/>
      <c r="H131" s="13"/>
      <c r="I131" s="13">
        <v>1</v>
      </c>
      <c r="K131" s="13">
        <v>8</v>
      </c>
      <c r="L131" t="s">
        <v>405</v>
      </c>
      <c r="M131" t="s">
        <v>61</v>
      </c>
      <c r="N131" t="s">
        <v>64</v>
      </c>
      <c r="O131" t="str">
        <f>IF(OR(AND(data!M131='categories 2'!A$2,data!N131='categories 2'!B$2),
       AND(data!M131='categories 2'!A$3,data!N131='categories 2'!B$3),
       AND(data!M131='categories 2'!A$4,data!N131='categories 2'!B$4),
       AND(data!M131='categories 2'!A$5,data!N131='categories 2'!B$5)), "aligned", "MISALIGNED")</f>
        <v>aligned</v>
      </c>
    </row>
    <row r="132" spans="1:17" ht="28.75" customHeight="1" x14ac:dyDescent="0.2">
      <c r="A132" s="16" t="s">
        <v>237</v>
      </c>
      <c r="B132" s="13" t="s">
        <v>238</v>
      </c>
      <c r="C132" s="13">
        <v>2018</v>
      </c>
      <c r="D132" s="13" t="s">
        <v>239</v>
      </c>
      <c r="E132" s="13" t="s">
        <v>235</v>
      </c>
      <c r="F132" s="13" t="s">
        <v>240</v>
      </c>
      <c r="G132" s="13">
        <v>4</v>
      </c>
      <c r="H132" s="13">
        <v>2</v>
      </c>
      <c r="I132" s="13">
        <v>1</v>
      </c>
      <c r="K132" s="13">
        <v>1</v>
      </c>
      <c r="L132" t="s">
        <v>407</v>
      </c>
      <c r="M132" t="s">
        <v>61</v>
      </c>
      <c r="N132" t="s">
        <v>49</v>
      </c>
      <c r="O132" t="str">
        <f>IF(OR(AND(data!M132='categories 2'!A$2,data!N132='categories 2'!B$2),
       AND(data!M132='categories 2'!A$3,data!N132='categories 2'!B$3),
       AND(data!M132='categories 2'!A$4,data!N132='categories 2'!B$4),
       AND(data!M132='categories 2'!A$5,data!N132='categories 2'!B$5)), "aligned", "MISALIGNED")</f>
        <v>MISALIGNED</v>
      </c>
    </row>
    <row r="133" spans="1:17" ht="28.75" customHeight="1" x14ac:dyDescent="0.2">
      <c r="A133" s="16"/>
      <c r="B133" s="13"/>
      <c r="C133" s="13"/>
      <c r="E133" s="13"/>
      <c r="G133" s="13"/>
      <c r="H133" s="13"/>
      <c r="I133" s="13">
        <v>1</v>
      </c>
      <c r="K133" s="13">
        <v>2</v>
      </c>
      <c r="L133" t="s">
        <v>408</v>
      </c>
      <c r="M133" t="s">
        <v>61</v>
      </c>
      <c r="N133" t="s">
        <v>65</v>
      </c>
      <c r="O133" t="str">
        <f>IF(OR(AND(data!M133='categories 2'!A$2,data!N133='categories 2'!B$2),
       AND(data!M133='categories 2'!A$3,data!N133='categories 2'!B$3),
       AND(data!M133='categories 2'!A$4,data!N133='categories 2'!B$4),
       AND(data!M133='categories 2'!A$5,data!N133='categories 2'!B$5)), "aligned", "MISALIGNED")</f>
        <v>MISALIGNED</v>
      </c>
      <c r="P133" s="8" t="b">
        <v>0</v>
      </c>
      <c r="Q133" s="8" t="s">
        <v>68</v>
      </c>
    </row>
    <row r="134" spans="1:17" ht="28.75" customHeight="1" x14ac:dyDescent="0.2">
      <c r="A134" s="16"/>
      <c r="B134" s="13"/>
      <c r="C134" s="13"/>
      <c r="E134" s="13"/>
      <c r="G134" s="13"/>
      <c r="H134" s="13"/>
      <c r="I134" s="13">
        <v>1</v>
      </c>
      <c r="K134" s="13">
        <v>3</v>
      </c>
      <c r="L134" t="s">
        <v>409</v>
      </c>
      <c r="M134" t="s">
        <v>60</v>
      </c>
      <c r="N134" t="s">
        <v>49</v>
      </c>
      <c r="O134" t="str">
        <f>IF(OR(AND(data!M134='categories 2'!A$2,data!N134='categories 2'!B$2),
       AND(data!M134='categories 2'!A$3,data!N134='categories 2'!B$3),
       AND(data!M134='categories 2'!A$4,data!N134='categories 2'!B$4),
       AND(data!M134='categories 2'!A$5,data!N134='categories 2'!B$5)), "aligned", "MISALIGNED")</f>
        <v>aligned</v>
      </c>
    </row>
    <row r="135" spans="1:17" ht="28.75" customHeight="1" x14ac:dyDescent="0.2">
      <c r="A135" s="16"/>
      <c r="B135" s="13"/>
      <c r="C135" s="13"/>
      <c r="E135" s="13"/>
      <c r="G135" s="13"/>
      <c r="H135" s="13"/>
      <c r="I135" s="13">
        <v>1</v>
      </c>
      <c r="K135" s="13">
        <v>4</v>
      </c>
      <c r="L135" t="s">
        <v>410</v>
      </c>
      <c r="M135" t="s">
        <v>61</v>
      </c>
      <c r="N135" t="s">
        <v>65</v>
      </c>
      <c r="O135" t="str">
        <f>IF(OR(AND(data!M135='categories 2'!A$2,data!N135='categories 2'!B$2),
       AND(data!M135='categories 2'!A$3,data!N135='categories 2'!B$3),
       AND(data!M135='categories 2'!A$4,data!N135='categories 2'!B$4),
       AND(data!M135='categories 2'!A$5,data!N135='categories 2'!B$5)), "aligned", "MISALIGNED")</f>
        <v>MISALIGNED</v>
      </c>
      <c r="P135" s="8" t="b">
        <v>0</v>
      </c>
      <c r="Q135" s="8" t="s">
        <v>68</v>
      </c>
    </row>
    <row r="136" spans="1:17" ht="28.75" customHeight="1" x14ac:dyDescent="0.2">
      <c r="A136" s="16"/>
      <c r="B136" s="13"/>
      <c r="C136" s="13"/>
      <c r="E136" s="13"/>
      <c r="G136" s="13"/>
      <c r="H136" s="13"/>
      <c r="I136" s="13">
        <v>1</v>
      </c>
      <c r="K136" s="13">
        <v>5</v>
      </c>
      <c r="L136" t="s">
        <v>411</v>
      </c>
      <c r="M136" t="s">
        <v>61</v>
      </c>
      <c r="N136" t="s">
        <v>64</v>
      </c>
      <c r="O136" t="str">
        <f>IF(OR(AND(data!M136='categories 2'!A$2,data!N136='categories 2'!B$2),
       AND(data!M136='categories 2'!A$3,data!N136='categories 2'!B$3),
       AND(data!M136='categories 2'!A$4,data!N136='categories 2'!B$4),
       AND(data!M136='categories 2'!A$5,data!N136='categories 2'!B$5)), "aligned", "MISALIGNED")</f>
        <v>aligned</v>
      </c>
    </row>
    <row r="137" spans="1:17" ht="28.75" customHeight="1" x14ac:dyDescent="0.2">
      <c r="A137" s="16" t="s">
        <v>241</v>
      </c>
      <c r="B137" s="13" t="s">
        <v>242</v>
      </c>
      <c r="C137" s="13">
        <v>2024</v>
      </c>
      <c r="D137" s="13" t="s">
        <v>243</v>
      </c>
      <c r="E137" s="13" t="s">
        <v>244</v>
      </c>
      <c r="F137" s="13" t="s">
        <v>245</v>
      </c>
      <c r="G137" s="13">
        <v>3</v>
      </c>
      <c r="H137" s="13">
        <v>1</v>
      </c>
      <c r="I137" s="13">
        <v>1</v>
      </c>
      <c r="K137" s="13">
        <v>1</v>
      </c>
      <c r="L137" t="s">
        <v>412</v>
      </c>
      <c r="M137" t="s">
        <v>61</v>
      </c>
      <c r="N137" t="s">
        <v>64</v>
      </c>
      <c r="O137" t="str">
        <f>IF(OR(AND(data!M137='categories 2'!A$2,data!N137='categories 2'!B$2),
       AND(data!M137='categories 2'!A$3,data!N137='categories 2'!B$3),
       AND(data!M137='categories 2'!A$4,data!N137='categories 2'!B$4),
       AND(data!M137='categories 2'!A$5,data!N137='categories 2'!B$5)), "aligned", "MISALIGNED")</f>
        <v>aligned</v>
      </c>
    </row>
    <row r="138" spans="1:17" ht="28.75" customHeight="1" x14ac:dyDescent="0.2">
      <c r="A138" s="16"/>
      <c r="B138" s="13"/>
      <c r="C138" s="13"/>
      <c r="E138" s="13"/>
      <c r="G138" s="13"/>
      <c r="H138" s="13"/>
      <c r="I138" s="13">
        <v>1</v>
      </c>
      <c r="K138" s="13">
        <v>2</v>
      </c>
      <c r="L138" t="s">
        <v>511</v>
      </c>
      <c r="M138" t="s">
        <v>61</v>
      </c>
      <c r="N138" t="s">
        <v>65</v>
      </c>
      <c r="O138" t="str">
        <f>IF(OR(AND(data!M138='categories 2'!A$2,data!N138='categories 2'!B$2),
       AND(data!M138='categories 2'!A$3,data!N138='categories 2'!B$3),
       AND(data!M138='categories 2'!A$4,data!N138='categories 2'!B$4),
       AND(data!M138='categories 2'!A$5,data!N138='categories 2'!B$5)), "aligned", "MISALIGNED")</f>
        <v>MISALIGNED</v>
      </c>
      <c r="P138" s="8" t="b">
        <v>0</v>
      </c>
      <c r="Q138" s="8" t="b">
        <v>0</v>
      </c>
    </row>
    <row r="139" spans="1:17" ht="28.75" customHeight="1" x14ac:dyDescent="0.2">
      <c r="A139" s="16"/>
      <c r="B139" s="13"/>
      <c r="C139" s="13"/>
      <c r="E139" s="13"/>
      <c r="G139" s="13"/>
      <c r="H139" s="13"/>
      <c r="I139" s="13">
        <v>1</v>
      </c>
      <c r="K139" s="13">
        <v>3</v>
      </c>
      <c r="L139" t="s">
        <v>512</v>
      </c>
      <c r="M139" t="s">
        <v>61</v>
      </c>
      <c r="N139" t="s">
        <v>64</v>
      </c>
      <c r="O139" t="str">
        <f>IF(OR(AND(data!M139='categories 2'!A$2,data!N139='categories 2'!B$2),
       AND(data!M139='categories 2'!A$3,data!N139='categories 2'!B$3),
       AND(data!M139='categories 2'!A$4,data!N139='categories 2'!B$4),
       AND(data!M139='categories 2'!A$5,data!N139='categories 2'!B$5)), "aligned", "MISALIGNED")</f>
        <v>aligned</v>
      </c>
    </row>
    <row r="140" spans="1:17" ht="28.75" customHeight="1" x14ac:dyDescent="0.2">
      <c r="A140" s="16" t="s">
        <v>246</v>
      </c>
      <c r="B140" s="13" t="s">
        <v>247</v>
      </c>
      <c r="C140" s="13">
        <v>2010</v>
      </c>
      <c r="D140" s="13" t="s">
        <v>248</v>
      </c>
      <c r="E140" s="13" t="s">
        <v>244</v>
      </c>
      <c r="F140" s="13" t="s">
        <v>249</v>
      </c>
      <c r="G140" s="13">
        <v>18</v>
      </c>
      <c r="H140" s="13">
        <v>2</v>
      </c>
      <c r="I140" s="13">
        <v>1</v>
      </c>
      <c r="K140" s="13">
        <v>1</v>
      </c>
      <c r="L140" t="s">
        <v>414</v>
      </c>
      <c r="M140" t="s">
        <v>61</v>
      </c>
      <c r="N140" t="s">
        <v>65</v>
      </c>
      <c r="O140" t="str">
        <f>IF(OR(AND(data!M140='categories 2'!A$2,data!N140='categories 2'!B$2),
       AND(data!M140='categories 2'!A$3,data!N140='categories 2'!B$3),
       AND(data!M140='categories 2'!A$4,data!N140='categories 2'!B$4),
       AND(data!M140='categories 2'!A$5,data!N140='categories 2'!B$5)), "aligned", "MISALIGNED")</f>
        <v>MISALIGNED</v>
      </c>
      <c r="P140" s="8" t="b">
        <v>0</v>
      </c>
      <c r="Q140" s="8" t="s">
        <v>68</v>
      </c>
    </row>
    <row r="141" spans="1:17" ht="28.75" customHeight="1" x14ac:dyDescent="0.2">
      <c r="A141" s="16"/>
      <c r="B141" s="13"/>
      <c r="C141" s="13"/>
      <c r="E141" s="13"/>
      <c r="G141" s="13"/>
      <c r="H141" s="13"/>
      <c r="I141" s="13">
        <v>1</v>
      </c>
      <c r="K141" s="13">
        <v>2</v>
      </c>
      <c r="L141" t="s">
        <v>413</v>
      </c>
      <c r="M141" t="s">
        <v>61</v>
      </c>
      <c r="N141" t="s">
        <v>65</v>
      </c>
      <c r="O141" t="str">
        <f>IF(OR(AND(data!M141='categories 2'!A$2,data!N141='categories 2'!B$2),
       AND(data!M141='categories 2'!A$3,data!N141='categories 2'!B$3),
       AND(data!M141='categories 2'!A$4,data!N141='categories 2'!B$4),
       AND(data!M141='categories 2'!A$5,data!N141='categories 2'!B$5)), "aligned", "MISALIGNED")</f>
        <v>MISALIGNED</v>
      </c>
      <c r="P141" s="8" t="b">
        <v>0</v>
      </c>
      <c r="Q141" s="8" t="s">
        <v>68</v>
      </c>
    </row>
    <row r="142" spans="1:17" ht="28.75" customHeight="1" x14ac:dyDescent="0.2">
      <c r="A142" s="16" t="s">
        <v>250</v>
      </c>
      <c r="B142" s="13" t="s">
        <v>251</v>
      </c>
      <c r="C142" s="13">
        <v>2024</v>
      </c>
      <c r="D142" s="13" t="s">
        <v>252</v>
      </c>
      <c r="E142" s="13" t="s">
        <v>253</v>
      </c>
      <c r="F142" s="13" t="s">
        <v>254</v>
      </c>
      <c r="G142" s="13">
        <v>2</v>
      </c>
      <c r="H142" s="13">
        <v>1</v>
      </c>
      <c r="I142" s="13">
        <v>1</v>
      </c>
      <c r="K142" s="13">
        <v>1</v>
      </c>
      <c r="L142" t="s">
        <v>415</v>
      </c>
      <c r="M142" t="s">
        <v>61</v>
      </c>
      <c r="N142" t="s">
        <v>64</v>
      </c>
      <c r="O142" t="str">
        <f>IF(OR(AND(data!M142='categories 2'!A$2,data!N142='categories 2'!B$2),
       AND(data!M142='categories 2'!A$3,data!N142='categories 2'!B$3),
       AND(data!M142='categories 2'!A$4,data!N142='categories 2'!B$4),
       AND(data!M142='categories 2'!A$5,data!N142='categories 2'!B$5)), "aligned", "MISALIGNED")</f>
        <v>aligned</v>
      </c>
    </row>
    <row r="143" spans="1:17" ht="28.75" customHeight="1" x14ac:dyDescent="0.2">
      <c r="A143" s="16"/>
      <c r="B143" s="13"/>
      <c r="C143" s="13"/>
      <c r="E143" s="13"/>
      <c r="G143" s="13"/>
      <c r="H143" s="13"/>
      <c r="I143" s="13">
        <v>1</v>
      </c>
      <c r="K143" s="13">
        <v>2</v>
      </c>
      <c r="L143" s="13" t="s">
        <v>514</v>
      </c>
      <c r="M143" t="s">
        <v>61</v>
      </c>
      <c r="N143" t="s">
        <v>65</v>
      </c>
      <c r="O143" t="str">
        <f>IF(OR(AND(data!M143='categories 2'!A$2,data!N143='categories 2'!B$2),
       AND(data!M143='categories 2'!A$3,data!N143='categories 2'!B$3),
       AND(data!M143='categories 2'!A$4,data!N143='categories 2'!B$4),
       AND(data!M143='categories 2'!A$5,data!N143='categories 2'!B$5)), "aligned", "MISALIGNED")</f>
        <v>MISALIGNED</v>
      </c>
      <c r="P143" s="8" t="b">
        <v>0</v>
      </c>
      <c r="Q143" s="8" t="b">
        <v>0</v>
      </c>
    </row>
    <row r="144" spans="1:17" ht="28.75" customHeight="1" x14ac:dyDescent="0.2">
      <c r="A144" s="16"/>
      <c r="B144" s="13"/>
      <c r="C144" s="13"/>
      <c r="E144" s="13"/>
      <c r="G144" s="13"/>
      <c r="H144" s="13"/>
      <c r="I144" s="13">
        <v>1</v>
      </c>
      <c r="K144" s="13">
        <v>3</v>
      </c>
      <c r="L144" s="13" t="s">
        <v>513</v>
      </c>
      <c r="M144" t="s">
        <v>61</v>
      </c>
      <c r="N144" t="s">
        <v>54</v>
      </c>
      <c r="O144" t="str">
        <f>IF(OR(AND(data!M144='categories 2'!A$2,data!N144='categories 2'!B$2),
       AND(data!M144='categories 2'!A$3,data!N144='categories 2'!B$3),
       AND(data!M144='categories 2'!A$4,data!N144='categories 2'!B$4),
       AND(data!M144='categories 2'!A$5,data!N144='categories 2'!B$5)), "aligned", "MISALIGNED")</f>
        <v>MISALIGNED</v>
      </c>
    </row>
    <row r="145" spans="1:17" ht="28.75" customHeight="1" x14ac:dyDescent="0.2">
      <c r="A145" s="16"/>
      <c r="B145" s="13"/>
      <c r="C145" s="13"/>
      <c r="E145" s="13"/>
      <c r="G145" s="13"/>
      <c r="H145" s="13"/>
      <c r="I145" s="13">
        <v>1</v>
      </c>
      <c r="K145" s="13">
        <v>4</v>
      </c>
      <c r="L145" s="13" t="s">
        <v>515</v>
      </c>
      <c r="M145" t="s">
        <v>61</v>
      </c>
      <c r="N145" t="s">
        <v>54</v>
      </c>
      <c r="O145" t="str">
        <f>IF(OR(AND(data!M145='categories 2'!A$2,data!N145='categories 2'!B$2),
       AND(data!M145='categories 2'!A$3,data!N145='categories 2'!B$3),
       AND(data!M145='categories 2'!A$4,data!N145='categories 2'!B$4),
       AND(data!M145='categories 2'!A$5,data!N145='categories 2'!B$5)), "aligned", "MISALIGNED")</f>
        <v>MISALIGNED</v>
      </c>
    </row>
    <row r="146" spans="1:17" ht="28.75" customHeight="1" x14ac:dyDescent="0.2">
      <c r="A146" s="16" t="s">
        <v>255</v>
      </c>
      <c r="B146" s="13" t="s">
        <v>256</v>
      </c>
      <c r="C146" s="13">
        <v>2023</v>
      </c>
      <c r="D146" s="13" t="s">
        <v>257</v>
      </c>
      <c r="E146" s="13" t="s">
        <v>253</v>
      </c>
      <c r="F146" s="13" t="s">
        <v>258</v>
      </c>
      <c r="G146" s="13">
        <v>1</v>
      </c>
      <c r="H146" s="13">
        <v>2</v>
      </c>
      <c r="I146" s="13">
        <v>1</v>
      </c>
      <c r="K146" s="13">
        <v>1</v>
      </c>
      <c r="L146" t="s">
        <v>416</v>
      </c>
      <c r="M146" t="s">
        <v>61</v>
      </c>
      <c r="N146" t="s">
        <v>54</v>
      </c>
      <c r="O146" t="str">
        <f>IF(OR(AND(data!M146='categories 2'!A$2,data!N146='categories 2'!B$2),
       AND(data!M146='categories 2'!A$3,data!N146='categories 2'!B$3),
       AND(data!M146='categories 2'!A$4,data!N146='categories 2'!B$4),
       AND(data!M146='categories 2'!A$5,data!N146='categories 2'!B$5)), "aligned", "MISALIGNED")</f>
        <v>MISALIGNED</v>
      </c>
    </row>
    <row r="147" spans="1:17" ht="28.75" customHeight="1" x14ac:dyDescent="0.2">
      <c r="A147" s="16"/>
      <c r="B147" s="13"/>
      <c r="C147" s="13"/>
      <c r="E147" s="13"/>
      <c r="G147" s="13"/>
      <c r="H147" s="13"/>
      <c r="I147" s="13">
        <v>1</v>
      </c>
      <c r="K147" s="13">
        <v>2</v>
      </c>
      <c r="L147" t="s">
        <v>417</v>
      </c>
      <c r="M147" t="s">
        <v>61</v>
      </c>
      <c r="N147" t="s">
        <v>54</v>
      </c>
      <c r="O147" t="str">
        <f>IF(OR(AND(data!M147='categories 2'!A$2,data!N147='categories 2'!B$2),
       AND(data!M147='categories 2'!A$3,data!N147='categories 2'!B$3),
       AND(data!M147='categories 2'!A$4,data!N147='categories 2'!B$4),
       AND(data!M147='categories 2'!A$5,data!N147='categories 2'!B$5)), "aligned", "MISALIGNED")</f>
        <v>MISALIGNED</v>
      </c>
    </row>
    <row r="148" spans="1:17" ht="28.75" customHeight="1" x14ac:dyDescent="0.2">
      <c r="A148" s="16"/>
      <c r="B148" s="13"/>
      <c r="C148" s="13"/>
      <c r="E148" s="13"/>
      <c r="G148" s="13"/>
      <c r="H148" s="13"/>
      <c r="I148" s="13">
        <v>1</v>
      </c>
      <c r="K148" s="13">
        <v>3</v>
      </c>
      <c r="L148" t="s">
        <v>418</v>
      </c>
      <c r="M148" t="s">
        <v>61</v>
      </c>
      <c r="N148" t="s">
        <v>64</v>
      </c>
      <c r="O148" t="str">
        <f>IF(OR(AND(data!M148='categories 2'!A$2,data!N148='categories 2'!B$2),
       AND(data!M148='categories 2'!A$3,data!N148='categories 2'!B$3),
       AND(data!M148='categories 2'!A$4,data!N148='categories 2'!B$4),
       AND(data!M148='categories 2'!A$5,data!N148='categories 2'!B$5)), "aligned", "MISALIGNED")</f>
        <v>aligned</v>
      </c>
    </row>
    <row r="149" spans="1:17" ht="28.75" customHeight="1" x14ac:dyDescent="0.2">
      <c r="A149" s="16"/>
      <c r="B149" s="13"/>
      <c r="C149" s="13"/>
      <c r="E149" s="13"/>
      <c r="G149" s="13"/>
      <c r="H149" s="13"/>
      <c r="I149" s="13">
        <v>1</v>
      </c>
      <c r="K149" s="13">
        <v>4</v>
      </c>
      <c r="L149" t="s">
        <v>419</v>
      </c>
      <c r="M149" t="s">
        <v>61</v>
      </c>
      <c r="N149" t="s">
        <v>64</v>
      </c>
      <c r="O149" t="str">
        <f>IF(OR(AND(data!M149='categories 2'!A$2,data!N149='categories 2'!B$2),
       AND(data!M149='categories 2'!A$3,data!N149='categories 2'!B$3),
       AND(data!M149='categories 2'!A$4,data!N149='categories 2'!B$4),
       AND(data!M149='categories 2'!A$5,data!N149='categories 2'!B$5)), "aligned", "MISALIGNED")</f>
        <v>aligned</v>
      </c>
    </row>
    <row r="150" spans="1:17" ht="28.75" customHeight="1" x14ac:dyDescent="0.2">
      <c r="A150" s="16"/>
      <c r="B150" s="13"/>
      <c r="C150" s="13"/>
      <c r="E150" s="13"/>
      <c r="G150" s="13"/>
      <c r="H150" s="13"/>
      <c r="I150" s="13">
        <v>1</v>
      </c>
      <c r="K150" s="13">
        <v>5</v>
      </c>
      <c r="L150" t="s">
        <v>420</v>
      </c>
      <c r="M150" t="s">
        <v>61</v>
      </c>
      <c r="N150" t="s">
        <v>54</v>
      </c>
      <c r="O150" t="str">
        <f>IF(OR(AND(data!M150='categories 2'!A$2,data!N150='categories 2'!B$2),
       AND(data!M150='categories 2'!A$3,data!N150='categories 2'!B$3),
       AND(data!M150='categories 2'!A$4,data!N150='categories 2'!B$4),
       AND(data!M150='categories 2'!A$5,data!N150='categories 2'!B$5)), "aligned", "MISALIGNED")</f>
        <v>MISALIGNED</v>
      </c>
    </row>
    <row r="151" spans="1:17" ht="28.75" customHeight="1" x14ac:dyDescent="0.2">
      <c r="A151" s="16"/>
      <c r="B151" s="13"/>
      <c r="C151" s="13"/>
      <c r="E151" s="13"/>
      <c r="G151" s="13"/>
      <c r="H151" s="13"/>
      <c r="I151" s="13">
        <v>1</v>
      </c>
      <c r="K151" s="13">
        <v>6</v>
      </c>
      <c r="L151" t="s">
        <v>421</v>
      </c>
      <c r="M151" t="s">
        <v>61</v>
      </c>
      <c r="N151" t="s">
        <v>54</v>
      </c>
      <c r="O151" t="str">
        <f>IF(OR(AND(data!M151='categories 2'!A$2,data!N151='categories 2'!B$2),
       AND(data!M151='categories 2'!A$3,data!N151='categories 2'!B$3),
       AND(data!M151='categories 2'!A$4,data!N151='categories 2'!B$4),
       AND(data!M151='categories 2'!A$5,data!N151='categories 2'!B$5)), "aligned", "MISALIGNED")</f>
        <v>MISALIGNED</v>
      </c>
    </row>
    <row r="152" spans="1:17" ht="28.75" customHeight="1" x14ac:dyDescent="0.2">
      <c r="A152" s="16"/>
      <c r="B152" s="13"/>
      <c r="C152" s="13"/>
      <c r="E152" s="13"/>
      <c r="G152" s="13"/>
      <c r="H152" s="13"/>
      <c r="I152" s="13">
        <v>1</v>
      </c>
      <c r="K152" s="13">
        <v>7</v>
      </c>
      <c r="L152" t="s">
        <v>422</v>
      </c>
      <c r="M152" t="s">
        <v>61</v>
      </c>
      <c r="N152" t="s">
        <v>54</v>
      </c>
      <c r="O152" t="str">
        <f>IF(OR(AND(data!M152='categories 2'!A$2,data!N152='categories 2'!B$2),
       AND(data!M152='categories 2'!A$3,data!N152='categories 2'!B$3),
       AND(data!M152='categories 2'!A$4,data!N152='categories 2'!B$4),
       AND(data!M152='categories 2'!A$5,data!N152='categories 2'!B$5)), "aligned", "MISALIGNED")</f>
        <v>MISALIGNED</v>
      </c>
    </row>
    <row r="153" spans="1:17" ht="28.75" customHeight="1" x14ac:dyDescent="0.2">
      <c r="A153" s="16" t="s">
        <v>318</v>
      </c>
      <c r="B153" s="13" t="s">
        <v>319</v>
      </c>
      <c r="C153" s="13">
        <v>2009</v>
      </c>
      <c r="D153" s="13" t="s">
        <v>320</v>
      </c>
      <c r="E153" s="13" t="s">
        <v>321</v>
      </c>
      <c r="F153" s="13" t="s">
        <v>322</v>
      </c>
      <c r="G153" s="13">
        <v>17</v>
      </c>
      <c r="H153" s="13">
        <v>1</v>
      </c>
      <c r="I153" s="13">
        <v>1</v>
      </c>
      <c r="K153" s="13">
        <v>1</v>
      </c>
      <c r="L153" s="13" t="s">
        <v>516</v>
      </c>
      <c r="M153" t="s">
        <v>60</v>
      </c>
      <c r="N153" t="s">
        <v>49</v>
      </c>
      <c r="O153" t="str">
        <f>IF(OR(AND(data!M153='categories 2'!A$2,data!N153='categories 2'!B$2),
       AND(data!M153='categories 2'!A$3,data!N153='categories 2'!B$3),
       AND(data!M153='categories 2'!A$4,data!N153='categories 2'!B$4),
       AND(data!M153='categories 2'!A$5,data!N153='categories 2'!B$5)), "aligned", "MISALIGNED")</f>
        <v>aligned</v>
      </c>
    </row>
    <row r="154" spans="1:17" ht="28.75" customHeight="1" x14ac:dyDescent="0.2">
      <c r="A154" s="16"/>
      <c r="B154" s="13"/>
      <c r="C154" s="13"/>
      <c r="E154" s="13"/>
      <c r="G154" s="13"/>
      <c r="H154" s="13"/>
      <c r="I154" s="13">
        <v>1</v>
      </c>
      <c r="K154" s="13">
        <v>2</v>
      </c>
      <c r="L154" t="s">
        <v>468</v>
      </c>
      <c r="M154" t="s">
        <v>60</v>
      </c>
      <c r="N154" t="s">
        <v>49</v>
      </c>
      <c r="O154" t="str">
        <f>IF(OR(AND(data!M154='categories 2'!A$2,data!N154='categories 2'!B$2),
       AND(data!M154='categories 2'!A$3,data!N154='categories 2'!B$3),
       AND(data!M154='categories 2'!A$4,data!N154='categories 2'!B$4),
       AND(data!M154='categories 2'!A$5,data!N154='categories 2'!B$5)), "aligned", "MISALIGNED")</f>
        <v>aligned</v>
      </c>
    </row>
    <row r="155" spans="1:17" ht="28.75" customHeight="1" x14ac:dyDescent="0.2">
      <c r="A155" s="16" t="s">
        <v>323</v>
      </c>
      <c r="B155" s="13" t="s">
        <v>324</v>
      </c>
      <c r="C155" s="13">
        <v>2018</v>
      </c>
      <c r="D155" s="13" t="s">
        <v>325</v>
      </c>
      <c r="E155" s="13" t="s">
        <v>321</v>
      </c>
      <c r="F155" s="13" t="s">
        <v>326</v>
      </c>
      <c r="G155" s="13">
        <v>15</v>
      </c>
      <c r="H155" s="13">
        <v>2</v>
      </c>
      <c r="I155">
        <v>2</v>
      </c>
      <c r="K155" s="13">
        <v>1</v>
      </c>
      <c r="L155" t="s">
        <v>423</v>
      </c>
      <c r="M155" t="s">
        <v>60</v>
      </c>
      <c r="N155" t="s">
        <v>49</v>
      </c>
      <c r="O155" t="str">
        <f>IF(OR(AND(data!M155='categories 2'!A$2,data!N155='categories 2'!B$2),
       AND(data!M155='categories 2'!A$3,data!N155='categories 2'!B$3),
       AND(data!M155='categories 2'!A$4,data!N155='categories 2'!B$4),
       AND(data!M155='categories 2'!A$5,data!N155='categories 2'!B$5)), "aligned", "MISALIGNED")</f>
        <v>aligned</v>
      </c>
    </row>
    <row r="156" spans="1:17" ht="28.75" customHeight="1" x14ac:dyDescent="0.2">
      <c r="A156" s="16"/>
      <c r="B156" s="13"/>
      <c r="C156" s="13"/>
      <c r="E156" s="13"/>
      <c r="G156" s="13"/>
      <c r="H156" s="13"/>
      <c r="I156" s="13">
        <v>2</v>
      </c>
      <c r="K156" s="13">
        <v>2</v>
      </c>
      <c r="L156" t="s">
        <v>424</v>
      </c>
      <c r="M156" t="s">
        <v>63</v>
      </c>
      <c r="N156" t="s">
        <v>65</v>
      </c>
      <c r="O156" t="str">
        <f>IF(OR(AND(data!M156='categories 2'!A$2,data!N156='categories 2'!B$2),
       AND(data!M156='categories 2'!A$3,data!N156='categories 2'!B$3),
       AND(data!M156='categories 2'!A$4,data!N156='categories 2'!B$4),
       AND(data!M156='categories 2'!A$5,data!N156='categories 2'!B$5)), "aligned", "MISALIGNED")</f>
        <v>aligned</v>
      </c>
      <c r="P156" s="8" t="b">
        <v>0</v>
      </c>
      <c r="Q156" s="8" t="b">
        <v>0</v>
      </c>
    </row>
    <row r="157" spans="1:17" ht="28.75" customHeight="1" x14ac:dyDescent="0.2">
      <c r="A157" s="16"/>
      <c r="B157" s="13"/>
      <c r="C157" s="13"/>
      <c r="E157" s="13"/>
      <c r="G157" s="13"/>
      <c r="H157" s="13"/>
      <c r="I157" s="13">
        <v>2</v>
      </c>
      <c r="K157" s="13">
        <v>3</v>
      </c>
      <c r="L157" t="s">
        <v>425</v>
      </c>
      <c r="M157" t="s">
        <v>61</v>
      </c>
      <c r="N157" t="s">
        <v>64</v>
      </c>
      <c r="O157" t="str">
        <f>IF(OR(AND(data!M157='categories 2'!A$2,data!N157='categories 2'!B$2),
       AND(data!M157='categories 2'!A$3,data!N157='categories 2'!B$3),
       AND(data!M157='categories 2'!A$4,data!N157='categories 2'!B$4),
       AND(data!M157='categories 2'!A$5,data!N157='categories 2'!B$5)), "aligned", "MISALIGNED")</f>
        <v>aligned</v>
      </c>
    </row>
    <row r="158" spans="1:17" ht="28.75" customHeight="1" x14ac:dyDescent="0.2">
      <c r="A158" s="16" t="s">
        <v>259</v>
      </c>
      <c r="B158" s="13" t="s">
        <v>260</v>
      </c>
      <c r="C158" s="13">
        <v>2021</v>
      </c>
      <c r="D158" s="13" t="s">
        <v>261</v>
      </c>
      <c r="E158" s="13" t="s">
        <v>262</v>
      </c>
      <c r="F158" s="13" t="s">
        <v>263</v>
      </c>
      <c r="G158" s="13">
        <v>20</v>
      </c>
      <c r="H158" s="13">
        <v>1</v>
      </c>
      <c r="I158" s="13">
        <v>1</v>
      </c>
      <c r="K158" s="13">
        <v>1</v>
      </c>
      <c r="L158" t="s">
        <v>454</v>
      </c>
      <c r="M158" t="s">
        <v>63</v>
      </c>
      <c r="N158" t="s">
        <v>65</v>
      </c>
      <c r="O158" t="str">
        <f>IF(OR(AND(data!M158='categories 2'!A$2,data!N158='categories 2'!B$2),
       AND(data!M158='categories 2'!A$3,data!N158='categories 2'!B$3),
       AND(data!M158='categories 2'!A$4,data!N158='categories 2'!B$4),
       AND(data!M158='categories 2'!A$5,data!N158='categories 2'!B$5)), "aligned", "MISALIGNED")</f>
        <v>aligned</v>
      </c>
      <c r="P158" s="8" t="b">
        <v>1</v>
      </c>
      <c r="Q158" s="8" t="b">
        <v>0</v>
      </c>
    </row>
    <row r="159" spans="1:17" ht="28.75" customHeight="1" x14ac:dyDescent="0.2">
      <c r="A159" s="16"/>
      <c r="B159" s="13"/>
      <c r="C159" s="13"/>
      <c r="E159" s="13"/>
      <c r="G159" s="13"/>
      <c r="H159" s="13"/>
      <c r="I159" s="13">
        <v>1</v>
      </c>
      <c r="K159" s="13">
        <v>2</v>
      </c>
      <c r="L159" s="13" t="s">
        <v>517</v>
      </c>
      <c r="M159" t="s">
        <v>60</v>
      </c>
      <c r="N159" t="s">
        <v>49</v>
      </c>
      <c r="O159" t="str">
        <f>IF(OR(AND(data!M159='categories 2'!A$2,data!N159='categories 2'!B$2),
       AND(data!M159='categories 2'!A$3,data!N159='categories 2'!B$3),
       AND(data!M159='categories 2'!A$4,data!N159='categories 2'!B$4),
       AND(data!M159='categories 2'!A$5,data!N159='categories 2'!B$5)), "aligned", "MISALIGNED")</f>
        <v>aligned</v>
      </c>
    </row>
    <row r="160" spans="1:17" ht="28.75" customHeight="1" x14ac:dyDescent="0.2">
      <c r="A160" s="16"/>
      <c r="B160" s="13"/>
      <c r="C160" s="13"/>
      <c r="E160" s="13"/>
      <c r="G160" s="13"/>
      <c r="H160" s="13"/>
      <c r="I160" s="13">
        <v>1</v>
      </c>
      <c r="K160" s="13">
        <v>3</v>
      </c>
      <c r="L160" s="13" t="s">
        <v>518</v>
      </c>
      <c r="M160" t="s">
        <v>60</v>
      </c>
      <c r="N160" t="s">
        <v>49</v>
      </c>
      <c r="O160" t="str">
        <f>IF(OR(AND(data!M160='categories 2'!A$2,data!N160='categories 2'!B$2),
       AND(data!M160='categories 2'!A$3,data!N160='categories 2'!B$3),
       AND(data!M160='categories 2'!A$4,data!N160='categories 2'!B$4),
       AND(data!M160='categories 2'!A$5,data!N160='categories 2'!B$5)), "aligned", "MISALIGNED")</f>
        <v>aligned</v>
      </c>
    </row>
    <row r="161" spans="1:15" ht="28.75" customHeight="1" x14ac:dyDescent="0.2">
      <c r="A161" s="16" t="s">
        <v>264</v>
      </c>
      <c r="B161" s="13" t="s">
        <v>265</v>
      </c>
      <c r="C161" s="13">
        <v>2024</v>
      </c>
      <c r="D161" s="13" t="s">
        <v>266</v>
      </c>
      <c r="E161" s="13" t="s">
        <v>262</v>
      </c>
      <c r="F161" s="13" t="s">
        <v>267</v>
      </c>
      <c r="G161" s="13">
        <v>0</v>
      </c>
      <c r="H161" s="13">
        <v>2</v>
      </c>
      <c r="I161" s="13">
        <v>1</v>
      </c>
      <c r="K161" s="13">
        <v>1</v>
      </c>
      <c r="L161" t="s">
        <v>455</v>
      </c>
      <c r="M161" t="s">
        <v>62</v>
      </c>
      <c r="N161" t="s">
        <v>49</v>
      </c>
      <c r="O161" t="str">
        <f>IF(OR(AND(data!M161='categories 2'!A$2,data!N161='categories 2'!B$2),
       AND(data!M161='categories 2'!A$3,data!N161='categories 2'!B$3),
       AND(data!M161='categories 2'!A$4,data!N161='categories 2'!B$4),
       AND(data!M161='categories 2'!A$5,data!N161='categories 2'!B$5)), "aligned", "MISALIGNED")</f>
        <v>MISALIGNED</v>
      </c>
    </row>
    <row r="162" spans="1:15" ht="28.75" customHeight="1" x14ac:dyDescent="0.2">
      <c r="A162" s="16"/>
      <c r="B162" s="13"/>
      <c r="C162" s="13"/>
      <c r="E162" s="13"/>
      <c r="G162" s="13"/>
      <c r="H162" s="13"/>
      <c r="I162" s="13">
        <v>1</v>
      </c>
      <c r="K162" s="13">
        <v>2</v>
      </c>
      <c r="L162" s="13" t="s">
        <v>519</v>
      </c>
      <c r="M162" t="s">
        <v>60</v>
      </c>
      <c r="N162" t="s">
        <v>49</v>
      </c>
      <c r="O162" t="str">
        <f>IF(OR(AND(data!M162='categories 2'!A$2,data!N162='categories 2'!B$2),
       AND(data!M162='categories 2'!A$3,data!N162='categories 2'!B$3),
       AND(data!M162='categories 2'!A$4,data!N162='categories 2'!B$4),
       AND(data!M162='categories 2'!A$5,data!N162='categories 2'!B$5)), "aligned", "MISALIGNED")</f>
        <v>aligned</v>
      </c>
    </row>
    <row r="163" spans="1:15" ht="28.75" customHeight="1" x14ac:dyDescent="0.2">
      <c r="A163" s="16"/>
      <c r="B163" s="13"/>
      <c r="C163" s="13"/>
      <c r="E163" s="13"/>
      <c r="G163" s="13"/>
      <c r="H163" s="13"/>
      <c r="I163" s="13">
        <v>1</v>
      </c>
      <c r="K163" s="13">
        <v>3</v>
      </c>
      <c r="L163" s="13" t="s">
        <v>520</v>
      </c>
      <c r="M163" t="s">
        <v>54</v>
      </c>
      <c r="N163" t="s">
        <v>54</v>
      </c>
      <c r="O163" t="str">
        <f>IF(OR(AND(data!M163='categories 2'!A$2,data!N163='categories 2'!B$2),
       AND(data!M163='categories 2'!A$3,data!N163='categories 2'!B$3),
       AND(data!M163='categories 2'!A$4,data!N163='categories 2'!B$4),
       AND(data!M163='categories 2'!A$5,data!N163='categories 2'!B$5)), "aligned", "MISALIGNED")</f>
        <v>MISALIGNED</v>
      </c>
    </row>
    <row r="164" spans="1:15" ht="28.75" customHeight="1" x14ac:dyDescent="0.2">
      <c r="A164" s="16" t="s">
        <v>268</v>
      </c>
      <c r="B164" s="13" t="s">
        <v>269</v>
      </c>
      <c r="C164" s="13">
        <v>2007</v>
      </c>
      <c r="D164" s="13" t="s">
        <v>270</v>
      </c>
      <c r="E164" s="13" t="s">
        <v>271</v>
      </c>
      <c r="F164" s="13" t="s">
        <v>272</v>
      </c>
      <c r="G164" s="13">
        <v>85</v>
      </c>
      <c r="H164" s="13">
        <v>1</v>
      </c>
      <c r="I164">
        <v>1</v>
      </c>
      <c r="K164" s="13">
        <v>1</v>
      </c>
      <c r="L164" t="s">
        <v>426</v>
      </c>
      <c r="M164" t="s">
        <v>61</v>
      </c>
      <c r="N164" t="s">
        <v>64</v>
      </c>
      <c r="O164" t="str">
        <f>IF(OR(AND(data!M164='categories 2'!A$2,data!N164='categories 2'!B$2),
       AND(data!M164='categories 2'!A$3,data!N164='categories 2'!B$3),
       AND(data!M164='categories 2'!A$4,data!N164='categories 2'!B$4),
       AND(data!M164='categories 2'!A$5,data!N164='categories 2'!B$5)), "aligned", "MISALIGNED")</f>
        <v>aligned</v>
      </c>
    </row>
    <row r="165" spans="1:15" ht="28.75" customHeight="1" x14ac:dyDescent="0.2">
      <c r="A165" s="16"/>
      <c r="B165" s="13"/>
      <c r="C165" s="13"/>
      <c r="E165" s="13"/>
      <c r="G165" s="13"/>
      <c r="H165" s="13"/>
      <c r="I165">
        <v>1</v>
      </c>
      <c r="K165" s="13">
        <v>2</v>
      </c>
      <c r="L165" t="s">
        <v>427</v>
      </c>
      <c r="M165" t="s">
        <v>61</v>
      </c>
      <c r="N165" t="s">
        <v>64</v>
      </c>
      <c r="O165" t="str">
        <f>IF(OR(AND(data!M165='categories 2'!A$2,data!N165='categories 2'!B$2),
       AND(data!M165='categories 2'!A$3,data!N165='categories 2'!B$3),
       AND(data!M165='categories 2'!A$4,data!N165='categories 2'!B$4),
       AND(data!M165='categories 2'!A$5,data!N165='categories 2'!B$5)), "aligned", "MISALIGNED")</f>
        <v>aligned</v>
      </c>
    </row>
    <row r="166" spans="1:15" ht="28.75" customHeight="1" x14ac:dyDescent="0.2">
      <c r="A166" s="16"/>
      <c r="B166" s="13"/>
      <c r="C166" s="13"/>
      <c r="E166" s="13"/>
      <c r="G166" s="13"/>
      <c r="H166" s="13"/>
      <c r="I166">
        <v>1</v>
      </c>
      <c r="K166" s="13">
        <v>3</v>
      </c>
      <c r="L166" t="s">
        <v>428</v>
      </c>
      <c r="M166" t="s">
        <v>61</v>
      </c>
      <c r="N166" t="s">
        <v>64</v>
      </c>
      <c r="O166" t="str">
        <f>IF(OR(AND(data!M166='categories 2'!A$2,data!N166='categories 2'!B$2),
       AND(data!M166='categories 2'!A$3,data!N166='categories 2'!B$3),
       AND(data!M166='categories 2'!A$4,data!N166='categories 2'!B$4),
       AND(data!M166='categories 2'!A$5,data!N166='categories 2'!B$5)), "aligned", "MISALIGNED")</f>
        <v>aligned</v>
      </c>
    </row>
    <row r="167" spans="1:15" ht="28.75" customHeight="1" x14ac:dyDescent="0.2">
      <c r="A167" s="16"/>
      <c r="B167" s="13"/>
      <c r="C167" s="13"/>
      <c r="E167" s="13"/>
      <c r="G167" s="13"/>
      <c r="H167" s="13"/>
      <c r="I167">
        <v>1</v>
      </c>
      <c r="K167" s="13">
        <v>4</v>
      </c>
      <c r="L167" t="s">
        <v>429</v>
      </c>
      <c r="M167" t="s">
        <v>61</v>
      </c>
      <c r="N167" t="s">
        <v>64</v>
      </c>
      <c r="O167" t="str">
        <f>IF(OR(AND(data!M167='categories 2'!A$2,data!N167='categories 2'!B$2),
       AND(data!M167='categories 2'!A$3,data!N167='categories 2'!B$3),
       AND(data!M167='categories 2'!A$4,data!N167='categories 2'!B$4),
       AND(data!M167='categories 2'!A$5,data!N167='categories 2'!B$5)), "aligned", "MISALIGNED")</f>
        <v>aligned</v>
      </c>
    </row>
    <row r="168" spans="1:15" ht="28.75" customHeight="1" x14ac:dyDescent="0.2">
      <c r="A168" s="16"/>
      <c r="B168" s="13"/>
      <c r="C168" s="13"/>
      <c r="E168" s="13"/>
      <c r="G168" s="13"/>
      <c r="H168" s="13"/>
      <c r="I168">
        <v>1</v>
      </c>
      <c r="K168" s="13">
        <v>5</v>
      </c>
      <c r="L168" t="s">
        <v>430</v>
      </c>
      <c r="M168" t="s">
        <v>61</v>
      </c>
      <c r="N168" t="s">
        <v>64</v>
      </c>
      <c r="O168" t="str">
        <f>IF(OR(AND(data!M168='categories 2'!A$2,data!N168='categories 2'!B$2),
       AND(data!M168='categories 2'!A$3,data!N168='categories 2'!B$3),
       AND(data!M168='categories 2'!A$4,data!N168='categories 2'!B$4),
       AND(data!M168='categories 2'!A$5,data!N168='categories 2'!B$5)), "aligned", "MISALIGNED")</f>
        <v>aligned</v>
      </c>
    </row>
    <row r="169" spans="1:15" ht="28.75" customHeight="1" x14ac:dyDescent="0.2">
      <c r="A169" s="16"/>
      <c r="B169" s="13"/>
      <c r="C169" s="13"/>
      <c r="E169" s="13"/>
      <c r="G169" s="13"/>
      <c r="H169" s="13"/>
      <c r="I169">
        <v>1</v>
      </c>
      <c r="K169" s="13">
        <v>6</v>
      </c>
      <c r="L169" t="s">
        <v>431</v>
      </c>
      <c r="M169" t="s">
        <v>61</v>
      </c>
      <c r="N169" t="s">
        <v>64</v>
      </c>
      <c r="O169" t="str">
        <f>IF(OR(AND(data!M169='categories 2'!A$2,data!N169='categories 2'!B$2),
       AND(data!M169='categories 2'!A$3,data!N169='categories 2'!B$3),
       AND(data!M169='categories 2'!A$4,data!N169='categories 2'!B$4),
       AND(data!M169='categories 2'!A$5,data!N169='categories 2'!B$5)), "aligned", "MISALIGNED")</f>
        <v>aligned</v>
      </c>
    </row>
    <row r="170" spans="1:15" ht="28.75" customHeight="1" x14ac:dyDescent="0.2">
      <c r="A170" s="16" t="s">
        <v>273</v>
      </c>
      <c r="B170" s="13" t="s">
        <v>274</v>
      </c>
      <c r="C170" s="13">
        <v>2007</v>
      </c>
      <c r="D170" s="13" t="s">
        <v>275</v>
      </c>
      <c r="E170" s="13" t="s">
        <v>271</v>
      </c>
      <c r="F170" s="13" t="s">
        <v>276</v>
      </c>
      <c r="G170" s="13">
        <v>58</v>
      </c>
      <c r="H170" s="13">
        <v>2</v>
      </c>
      <c r="I170">
        <v>3</v>
      </c>
      <c r="K170" s="13">
        <v>1</v>
      </c>
      <c r="L170" t="s">
        <v>432</v>
      </c>
      <c r="M170" t="s">
        <v>61</v>
      </c>
      <c r="N170" t="s">
        <v>64</v>
      </c>
      <c r="O170" t="str">
        <f>IF(OR(AND(data!M170='categories 2'!A$2,data!N170='categories 2'!B$2),
       AND(data!M170='categories 2'!A$3,data!N170='categories 2'!B$3),
       AND(data!M170='categories 2'!A$4,data!N170='categories 2'!B$4),
       AND(data!M170='categories 2'!A$5,data!N170='categories 2'!B$5)), "aligned", "MISALIGNED")</f>
        <v>aligned</v>
      </c>
    </row>
    <row r="171" spans="1:15" ht="28.75" customHeight="1" x14ac:dyDescent="0.2">
      <c r="A171" s="16"/>
      <c r="B171" s="13"/>
      <c r="C171" s="13"/>
      <c r="E171" s="13"/>
      <c r="G171" s="13"/>
      <c r="H171" s="13"/>
      <c r="I171">
        <v>3</v>
      </c>
      <c r="K171" s="13">
        <v>2</v>
      </c>
      <c r="L171" t="s">
        <v>433</v>
      </c>
      <c r="M171" t="s">
        <v>61</v>
      </c>
      <c r="N171" t="s">
        <v>64</v>
      </c>
      <c r="O171" t="str">
        <f>IF(OR(AND(data!M171='categories 2'!A$2,data!N171='categories 2'!B$2),
       AND(data!M171='categories 2'!A$3,data!N171='categories 2'!B$3),
       AND(data!M171='categories 2'!A$4,data!N171='categories 2'!B$4),
       AND(data!M171='categories 2'!A$5,data!N171='categories 2'!B$5)), "aligned", "MISALIGNED")</f>
        <v>aligned</v>
      </c>
    </row>
    <row r="172" spans="1:15" ht="28.75" customHeight="1" x14ac:dyDescent="0.2">
      <c r="A172" s="16" t="s">
        <v>277</v>
      </c>
      <c r="B172" s="13" t="s">
        <v>278</v>
      </c>
      <c r="C172" s="13">
        <v>2023</v>
      </c>
      <c r="D172" s="13" t="s">
        <v>279</v>
      </c>
      <c r="E172" s="13" t="s">
        <v>280</v>
      </c>
      <c r="F172" s="13" t="s">
        <v>281</v>
      </c>
      <c r="G172" s="13">
        <v>3</v>
      </c>
      <c r="H172" s="13">
        <v>1</v>
      </c>
      <c r="I172">
        <v>2</v>
      </c>
      <c r="K172" s="13">
        <v>1</v>
      </c>
      <c r="L172" t="s">
        <v>434</v>
      </c>
      <c r="M172" t="s">
        <v>61</v>
      </c>
      <c r="N172" t="s">
        <v>64</v>
      </c>
      <c r="O172" t="str">
        <f>IF(OR(AND(data!M172='categories 2'!A$2,data!N172='categories 2'!B$2),
       AND(data!M172='categories 2'!A$3,data!N172='categories 2'!B$3),
       AND(data!M172='categories 2'!A$4,data!N172='categories 2'!B$4),
       AND(data!M172='categories 2'!A$5,data!N172='categories 2'!B$5)), "aligned", "MISALIGNED")</f>
        <v>aligned</v>
      </c>
    </row>
    <row r="173" spans="1:15" ht="28.75" customHeight="1" x14ac:dyDescent="0.2">
      <c r="A173" s="16"/>
      <c r="B173" s="13"/>
      <c r="C173" s="13"/>
      <c r="E173" s="13"/>
      <c r="G173" s="13"/>
      <c r="H173" s="13"/>
      <c r="I173">
        <v>2</v>
      </c>
      <c r="K173" s="13">
        <v>2</v>
      </c>
      <c r="L173" t="s">
        <v>435</v>
      </c>
      <c r="M173" t="s">
        <v>61</v>
      </c>
      <c r="N173" t="s">
        <v>64</v>
      </c>
      <c r="O173" t="str">
        <f>IF(OR(AND(data!M173='categories 2'!A$2,data!N173='categories 2'!B$2),
       AND(data!M173='categories 2'!A$3,data!N173='categories 2'!B$3),
       AND(data!M173='categories 2'!A$4,data!N173='categories 2'!B$4),
       AND(data!M173='categories 2'!A$5,data!N173='categories 2'!B$5)), "aligned", "MISALIGNED")</f>
        <v>aligned</v>
      </c>
    </row>
    <row r="174" spans="1:15" ht="28.75" customHeight="1" x14ac:dyDescent="0.2">
      <c r="A174" s="16"/>
      <c r="B174" s="13"/>
      <c r="C174" s="13"/>
      <c r="E174" s="13"/>
      <c r="G174" s="13"/>
      <c r="H174" s="13"/>
      <c r="I174">
        <v>2</v>
      </c>
      <c r="K174" s="13">
        <v>3</v>
      </c>
      <c r="L174" t="s">
        <v>436</v>
      </c>
      <c r="M174" t="s">
        <v>61</v>
      </c>
      <c r="N174" t="s">
        <v>64</v>
      </c>
      <c r="O174" t="str">
        <f>IF(OR(AND(data!M174='categories 2'!A$2,data!N174='categories 2'!B$2),
       AND(data!M174='categories 2'!A$3,data!N174='categories 2'!B$3),
       AND(data!M174='categories 2'!A$4,data!N174='categories 2'!B$4),
       AND(data!M174='categories 2'!A$5,data!N174='categories 2'!B$5)), "aligned", "MISALIGNED")</f>
        <v>aligned</v>
      </c>
    </row>
    <row r="175" spans="1:15" ht="28.75" customHeight="1" x14ac:dyDescent="0.2">
      <c r="A175" s="16"/>
      <c r="B175" s="13"/>
      <c r="C175" s="13"/>
      <c r="E175" s="13"/>
      <c r="G175" s="13"/>
      <c r="H175" s="13"/>
      <c r="I175">
        <v>2</v>
      </c>
      <c r="K175" s="13">
        <v>4</v>
      </c>
      <c r="L175" s="13" t="s">
        <v>544</v>
      </c>
      <c r="M175" s="13" t="s">
        <v>61</v>
      </c>
      <c r="N175" s="13" t="s">
        <v>64</v>
      </c>
      <c r="O175" t="str">
        <f>IF(OR(AND(data!M175='categories 2'!A$2,data!N175='categories 2'!B$2),
       AND(data!M175='categories 2'!A$3,data!N175='categories 2'!B$3),
       AND(data!M175='categories 2'!A$4,data!N175='categories 2'!B$4),
       AND(data!M175='categories 2'!A$5,data!N175='categories 2'!B$5)), "aligned", "MISALIGNED")</f>
        <v>aligned</v>
      </c>
    </row>
    <row r="176" spans="1:15" ht="28.75" customHeight="1" x14ac:dyDescent="0.2">
      <c r="A176" s="16" t="s">
        <v>282</v>
      </c>
      <c r="B176" s="13" t="s">
        <v>283</v>
      </c>
      <c r="C176" s="13">
        <v>2008</v>
      </c>
      <c r="D176" s="13" t="s">
        <v>284</v>
      </c>
      <c r="E176" s="13" t="s">
        <v>280</v>
      </c>
      <c r="F176" s="13" t="s">
        <v>285</v>
      </c>
      <c r="G176" s="13">
        <v>116</v>
      </c>
      <c r="H176" s="13">
        <v>2</v>
      </c>
      <c r="I176">
        <v>1</v>
      </c>
      <c r="K176" s="13">
        <v>1</v>
      </c>
      <c r="L176" s="13" t="s">
        <v>521</v>
      </c>
      <c r="M176" t="s">
        <v>61</v>
      </c>
      <c r="N176" t="s">
        <v>64</v>
      </c>
      <c r="O176" t="str">
        <f>IF(OR(AND(data!M176='categories 2'!A$2,data!N176='categories 2'!B$2),
       AND(data!M176='categories 2'!A$3,data!N176='categories 2'!B$3),
       AND(data!M176='categories 2'!A$4,data!N176='categories 2'!B$4),
       AND(data!M176='categories 2'!A$5,data!N176='categories 2'!B$5)), "aligned", "MISALIGNED")</f>
        <v>aligned</v>
      </c>
    </row>
    <row r="177" spans="1:17" ht="28.75" customHeight="1" x14ac:dyDescent="0.2">
      <c r="A177" s="16"/>
      <c r="B177" s="13"/>
      <c r="C177" s="13"/>
      <c r="E177" s="13"/>
      <c r="G177" s="13"/>
      <c r="H177" s="13"/>
      <c r="I177">
        <v>1</v>
      </c>
      <c r="K177" s="13">
        <v>2</v>
      </c>
      <c r="L177" t="s">
        <v>546</v>
      </c>
      <c r="M177" t="s">
        <v>61</v>
      </c>
      <c r="N177" t="s">
        <v>64</v>
      </c>
      <c r="O177" t="str">
        <f>IF(OR(AND(data!M177='categories 2'!A$2,data!N177='categories 2'!B$2),
       AND(data!M177='categories 2'!A$3,data!N177='categories 2'!B$3),
       AND(data!M177='categories 2'!A$4,data!N177='categories 2'!B$4),
       AND(data!M177='categories 2'!A$5,data!N177='categories 2'!B$5)), "aligned", "MISALIGNED")</f>
        <v>aligned</v>
      </c>
    </row>
    <row r="178" spans="1:17" ht="28.75" customHeight="1" x14ac:dyDescent="0.2">
      <c r="A178" s="16"/>
      <c r="B178" s="13"/>
      <c r="C178" s="13"/>
      <c r="E178" s="13"/>
      <c r="G178" s="13"/>
      <c r="H178" s="13"/>
      <c r="I178">
        <v>1</v>
      </c>
      <c r="K178" s="13">
        <v>3</v>
      </c>
      <c r="L178" s="13" t="s">
        <v>522</v>
      </c>
      <c r="M178" t="s">
        <v>61</v>
      </c>
      <c r="N178" t="s">
        <v>64</v>
      </c>
      <c r="O178" t="str">
        <f>IF(OR(AND(data!M178='categories 2'!A$2,data!N178='categories 2'!B$2),
       AND(data!M178='categories 2'!A$3,data!N178='categories 2'!B$3),
       AND(data!M178='categories 2'!A$4,data!N178='categories 2'!B$4),
       AND(data!M178='categories 2'!A$5,data!N178='categories 2'!B$5)), "aligned", "MISALIGNED")</f>
        <v>aligned</v>
      </c>
    </row>
    <row r="179" spans="1:17" ht="28.75" customHeight="1" x14ac:dyDescent="0.2">
      <c r="A179" s="16" t="s">
        <v>286</v>
      </c>
      <c r="B179" s="13" t="s">
        <v>287</v>
      </c>
      <c r="C179" s="13">
        <v>2015</v>
      </c>
      <c r="D179" s="13" t="s">
        <v>288</v>
      </c>
      <c r="E179" s="13" t="s">
        <v>289</v>
      </c>
      <c r="F179" s="13" t="s">
        <v>290</v>
      </c>
      <c r="G179" s="13">
        <v>62</v>
      </c>
      <c r="H179" s="13">
        <v>1</v>
      </c>
      <c r="I179">
        <v>1</v>
      </c>
      <c r="K179" s="13">
        <v>1</v>
      </c>
      <c r="L179" t="s">
        <v>437</v>
      </c>
      <c r="M179" t="s">
        <v>61</v>
      </c>
      <c r="N179" t="s">
        <v>64</v>
      </c>
      <c r="O179" t="str">
        <f>IF(OR(AND(data!M179='categories 2'!A$2,data!N179='categories 2'!B$2),
       AND(data!M179='categories 2'!A$3,data!N179='categories 2'!B$3),
       AND(data!M179='categories 2'!A$4,data!N179='categories 2'!B$4),
       AND(data!M179='categories 2'!A$5,data!N179='categories 2'!B$5)), "aligned", "MISALIGNED")</f>
        <v>aligned</v>
      </c>
    </row>
    <row r="180" spans="1:17" ht="28.75" customHeight="1" x14ac:dyDescent="0.2">
      <c r="A180" s="16"/>
      <c r="B180" s="13"/>
      <c r="C180" s="13"/>
      <c r="E180" s="13"/>
      <c r="G180" s="13"/>
      <c r="H180" s="13"/>
      <c r="I180">
        <v>1</v>
      </c>
      <c r="K180" s="13">
        <v>2</v>
      </c>
      <c r="L180" t="s">
        <v>438</v>
      </c>
      <c r="M180" t="s">
        <v>61</v>
      </c>
      <c r="N180" t="s">
        <v>64</v>
      </c>
      <c r="O180" t="str">
        <f>IF(OR(AND(data!M180='categories 2'!A$2,data!N180='categories 2'!B$2),
       AND(data!M180='categories 2'!A$3,data!N180='categories 2'!B$3),
       AND(data!M180='categories 2'!A$4,data!N180='categories 2'!B$4),
       AND(data!M180='categories 2'!A$5,data!N180='categories 2'!B$5)), "aligned", "MISALIGNED")</f>
        <v>aligned</v>
      </c>
    </row>
    <row r="181" spans="1:17" ht="28.75" customHeight="1" x14ac:dyDescent="0.2">
      <c r="A181" s="16"/>
      <c r="B181" s="13"/>
      <c r="C181" s="13"/>
      <c r="E181" s="13"/>
      <c r="G181" s="13"/>
      <c r="H181" s="13"/>
      <c r="I181">
        <v>1</v>
      </c>
      <c r="K181" s="13">
        <v>3</v>
      </c>
      <c r="L181" s="18" t="s">
        <v>545</v>
      </c>
      <c r="M181" t="s">
        <v>61</v>
      </c>
      <c r="N181" t="s">
        <v>64</v>
      </c>
      <c r="O181" t="str">
        <f>IF(OR(AND(data!M181='categories 2'!A$2,data!N181='categories 2'!B$2),
       AND(data!M181='categories 2'!A$3,data!N181='categories 2'!B$3),
       AND(data!M181='categories 2'!A$4,data!N181='categories 2'!B$4),
       AND(data!M181='categories 2'!A$5,data!N181='categories 2'!B$5)), "aligned", "MISALIGNED")</f>
        <v>aligned</v>
      </c>
    </row>
    <row r="182" spans="1:17" ht="28.75" customHeight="1" x14ac:dyDescent="0.2">
      <c r="A182" s="16"/>
      <c r="B182" s="13"/>
      <c r="C182" s="13"/>
      <c r="E182" s="13"/>
      <c r="G182" s="13"/>
      <c r="H182" s="13"/>
      <c r="I182">
        <v>1</v>
      </c>
      <c r="K182" s="13">
        <v>4</v>
      </c>
      <c r="L182" t="s">
        <v>439</v>
      </c>
      <c r="M182" t="s">
        <v>61</v>
      </c>
      <c r="N182" t="s">
        <v>65</v>
      </c>
      <c r="O182" t="str">
        <f>IF(OR(AND(data!M182='categories 2'!A$2,data!N182='categories 2'!B$2),
       AND(data!M182='categories 2'!A$3,data!N182='categories 2'!B$3),
       AND(data!M182='categories 2'!A$4,data!N182='categories 2'!B$4),
       AND(data!M182='categories 2'!A$5,data!N182='categories 2'!B$5)), "aligned", "MISALIGNED")</f>
        <v>MISALIGNED</v>
      </c>
      <c r="P182" s="8" t="b">
        <v>0</v>
      </c>
      <c r="Q182" s="8" t="b">
        <v>0</v>
      </c>
    </row>
    <row r="183" spans="1:17" ht="28.75" customHeight="1" x14ac:dyDescent="0.2">
      <c r="A183" s="16"/>
      <c r="B183" s="13"/>
      <c r="C183" s="13"/>
      <c r="E183" s="13"/>
      <c r="G183" s="13"/>
      <c r="H183" s="13"/>
      <c r="I183">
        <v>1</v>
      </c>
      <c r="K183" s="13">
        <v>5</v>
      </c>
      <c r="L183" t="s">
        <v>440</v>
      </c>
      <c r="M183" t="s">
        <v>63</v>
      </c>
      <c r="N183" t="s">
        <v>64</v>
      </c>
      <c r="O183" t="str">
        <f>IF(OR(AND(data!M183='categories 2'!A$2,data!N183='categories 2'!B$2),
       AND(data!M183='categories 2'!A$3,data!N183='categories 2'!B$3),
       AND(data!M183='categories 2'!A$4,data!N183='categories 2'!B$4),
       AND(data!M183='categories 2'!A$5,data!N183='categories 2'!B$5)), "aligned", "MISALIGNED")</f>
        <v>MISALIGNED</v>
      </c>
    </row>
    <row r="184" spans="1:17" ht="28.75" customHeight="1" x14ac:dyDescent="0.2">
      <c r="A184" s="16"/>
      <c r="B184" s="13"/>
      <c r="C184" s="13"/>
      <c r="E184" s="13"/>
      <c r="G184" s="13"/>
      <c r="H184" s="13"/>
      <c r="I184">
        <v>1</v>
      </c>
      <c r="K184" s="13">
        <v>6</v>
      </c>
      <c r="L184" t="s">
        <v>441</v>
      </c>
      <c r="M184" t="s">
        <v>63</v>
      </c>
      <c r="N184" t="s">
        <v>64</v>
      </c>
      <c r="O184" t="str">
        <f>IF(OR(AND(data!M184='categories 2'!A$2,data!N184='categories 2'!B$2),
       AND(data!M184='categories 2'!A$3,data!N184='categories 2'!B$3),
       AND(data!M184='categories 2'!A$4,data!N184='categories 2'!B$4),
       AND(data!M184='categories 2'!A$5,data!N184='categories 2'!B$5)), "aligned", "MISALIGNED")</f>
        <v>MISALIGNED</v>
      </c>
    </row>
    <row r="185" spans="1:17" ht="28.75" customHeight="1" x14ac:dyDescent="0.2">
      <c r="A185" s="16" t="s">
        <v>291</v>
      </c>
      <c r="B185" s="13" t="s">
        <v>292</v>
      </c>
      <c r="C185" s="13">
        <v>2010</v>
      </c>
      <c r="D185" s="13" t="s">
        <v>293</v>
      </c>
      <c r="E185" s="13" t="s">
        <v>289</v>
      </c>
      <c r="F185" s="13" t="s">
        <v>294</v>
      </c>
      <c r="G185" s="13">
        <v>124</v>
      </c>
      <c r="H185" s="13">
        <v>2</v>
      </c>
      <c r="I185">
        <v>1</v>
      </c>
      <c r="K185" s="13">
        <v>1</v>
      </c>
      <c r="L185" t="s">
        <v>442</v>
      </c>
      <c r="M185" t="s">
        <v>61</v>
      </c>
      <c r="N185" t="s">
        <v>54</v>
      </c>
      <c r="O185" t="str">
        <f>IF(OR(AND(data!M185='categories 2'!A$2,data!N185='categories 2'!B$2),
       AND(data!M185='categories 2'!A$3,data!N185='categories 2'!B$3),
       AND(data!M185='categories 2'!A$4,data!N185='categories 2'!B$4),
       AND(data!M185='categories 2'!A$5,data!N185='categories 2'!B$5)), "aligned", "MISALIGNED")</f>
        <v>MISALIGNED</v>
      </c>
    </row>
    <row r="186" spans="1:17" ht="28.75" customHeight="1" x14ac:dyDescent="0.2">
      <c r="A186" s="16"/>
      <c r="B186" s="13"/>
      <c r="C186" s="13"/>
      <c r="E186" s="13"/>
      <c r="G186" s="13"/>
      <c r="H186" s="13"/>
      <c r="I186">
        <v>1</v>
      </c>
      <c r="K186" s="13">
        <v>4</v>
      </c>
      <c r="L186" t="s">
        <v>443</v>
      </c>
      <c r="M186" t="s">
        <v>61</v>
      </c>
      <c r="N186" t="s">
        <v>64</v>
      </c>
      <c r="O186" t="str">
        <f>IF(OR(AND(data!M186='categories 2'!A$2,data!N186='categories 2'!B$2),
       AND(data!M186='categories 2'!A$3,data!N186='categories 2'!B$3),
       AND(data!M186='categories 2'!A$4,data!N186='categories 2'!B$4),
       AND(data!M186='categories 2'!A$5,data!N186='categories 2'!B$5)), "aligned", "MISALIGNED")</f>
        <v>aligned</v>
      </c>
    </row>
    <row r="187" spans="1:17" ht="28.75" customHeight="1" x14ac:dyDescent="0.2">
      <c r="A187" s="16" t="s">
        <v>295</v>
      </c>
      <c r="B187" s="13" t="s">
        <v>296</v>
      </c>
      <c r="C187" s="13">
        <v>2022</v>
      </c>
      <c r="D187" s="13" t="s">
        <v>297</v>
      </c>
      <c r="E187" s="13" t="s">
        <v>298</v>
      </c>
      <c r="F187" s="13" t="s">
        <v>299</v>
      </c>
      <c r="G187" s="13">
        <v>2</v>
      </c>
      <c r="H187" s="13">
        <v>1</v>
      </c>
      <c r="I187">
        <v>1</v>
      </c>
      <c r="K187" s="13">
        <v>1</v>
      </c>
      <c r="L187" t="s">
        <v>444</v>
      </c>
      <c r="M187" t="s">
        <v>60</v>
      </c>
      <c r="N187" t="s">
        <v>49</v>
      </c>
      <c r="O187" t="str">
        <f>IF(OR(AND(data!M187='categories 2'!A$2,data!N187='categories 2'!B$2),
       AND(data!M187='categories 2'!A$3,data!N187='categories 2'!B$3),
       AND(data!M187='categories 2'!A$4,data!N187='categories 2'!B$4),
       AND(data!M187='categories 2'!A$5,data!N187='categories 2'!B$5)), "aligned", "MISALIGNED")</f>
        <v>aligned</v>
      </c>
    </row>
    <row r="188" spans="1:17" ht="28.75" customHeight="1" x14ac:dyDescent="0.2">
      <c r="A188" s="16"/>
      <c r="B188" s="13"/>
      <c r="C188" s="13"/>
      <c r="E188" s="13"/>
      <c r="G188" s="13"/>
      <c r="H188" s="13"/>
      <c r="I188">
        <v>1</v>
      </c>
      <c r="K188" s="13">
        <v>2</v>
      </c>
      <c r="L188" t="s">
        <v>445</v>
      </c>
      <c r="M188" t="s">
        <v>60</v>
      </c>
      <c r="N188" t="s">
        <v>49</v>
      </c>
      <c r="O188" t="str">
        <f>IF(OR(AND(data!M188='categories 2'!A$2,data!N188='categories 2'!B$2),
       AND(data!M188='categories 2'!A$3,data!N188='categories 2'!B$3),
       AND(data!M188='categories 2'!A$4,data!N188='categories 2'!B$4),
       AND(data!M188='categories 2'!A$5,data!N188='categories 2'!B$5)), "aligned", "MISALIGNED")</f>
        <v>aligned</v>
      </c>
    </row>
    <row r="189" spans="1:17" ht="28.75" customHeight="1" x14ac:dyDescent="0.2">
      <c r="A189" s="16" t="s">
        <v>300</v>
      </c>
      <c r="B189" s="13" t="s">
        <v>301</v>
      </c>
      <c r="C189" s="13">
        <v>2008</v>
      </c>
      <c r="D189" s="13" t="s">
        <v>302</v>
      </c>
      <c r="E189" s="13" t="s">
        <v>298</v>
      </c>
      <c r="F189" s="13" t="s">
        <v>303</v>
      </c>
      <c r="G189" s="13">
        <v>105</v>
      </c>
      <c r="H189" s="13">
        <v>2</v>
      </c>
      <c r="I189">
        <v>1</v>
      </c>
      <c r="K189" s="13">
        <v>1</v>
      </c>
      <c r="L189" s="13" t="s">
        <v>542</v>
      </c>
      <c r="M189" t="s">
        <v>63</v>
      </c>
      <c r="N189" t="s">
        <v>64</v>
      </c>
      <c r="O189" t="str">
        <f>IF(OR(AND(data!M189='categories 2'!A$2,data!N189='categories 2'!B$2),
       AND(data!M189='categories 2'!A$3,data!N189='categories 2'!B$3),
       AND(data!M189='categories 2'!A$4,data!N189='categories 2'!B$4),
       AND(data!M189='categories 2'!A$5,data!N189='categories 2'!B$5)), "aligned", "MISALIGNED")</f>
        <v>MISALIGNED</v>
      </c>
    </row>
    <row r="190" spans="1:17" ht="28.75" customHeight="1" x14ac:dyDescent="0.2">
      <c r="A190" s="16"/>
      <c r="B190" s="13"/>
      <c r="C190" s="13"/>
      <c r="E190" s="13"/>
      <c r="G190" s="13"/>
      <c r="H190" s="13"/>
      <c r="I190">
        <v>1</v>
      </c>
      <c r="K190" s="13">
        <v>3</v>
      </c>
      <c r="L190" s="13" t="s">
        <v>543</v>
      </c>
      <c r="M190" t="s">
        <v>63</v>
      </c>
      <c r="N190" t="s">
        <v>64</v>
      </c>
      <c r="O190" t="str">
        <f>IF(OR(AND(data!M190='categories 2'!A$2,data!N190='categories 2'!B$2),
       AND(data!M190='categories 2'!A$3,data!N190='categories 2'!B$3),
       AND(data!M190='categories 2'!A$4,data!N190='categories 2'!B$4),
       AND(data!M190='categories 2'!A$5,data!N190='categories 2'!B$5)), "aligned", "MISALIGNED")</f>
        <v>MISALIGNED</v>
      </c>
    </row>
    <row r="191" spans="1:17" ht="28.75" customHeight="1" x14ac:dyDescent="0.2">
      <c r="A191" s="16"/>
      <c r="B191" s="13"/>
      <c r="C191" s="13"/>
      <c r="E191" s="13"/>
      <c r="G191" s="13"/>
      <c r="H191" s="13"/>
      <c r="I191">
        <v>1</v>
      </c>
      <c r="K191" s="13">
        <v>2</v>
      </c>
      <c r="L191" t="s">
        <v>446</v>
      </c>
      <c r="M191" t="s">
        <v>60</v>
      </c>
      <c r="N191" t="s">
        <v>49</v>
      </c>
      <c r="O191" t="str">
        <f>IF(OR(AND(data!M191='categories 2'!A$2,data!N191='categories 2'!B$2),
       AND(data!M191='categories 2'!A$3,data!N191='categories 2'!B$3),
       AND(data!M191='categories 2'!A$4,data!N191='categories 2'!B$4),
       AND(data!M191='categories 2'!A$5,data!N191='categories 2'!B$5)), "aligned", "MISALIGNED")</f>
        <v>aligned</v>
      </c>
    </row>
    <row r="192" spans="1:17" ht="28.75" customHeight="1" x14ac:dyDescent="0.2">
      <c r="A192" s="16"/>
      <c r="B192" s="13"/>
      <c r="C192" s="13"/>
      <c r="E192" s="13"/>
      <c r="G192" s="13"/>
      <c r="H192" s="13"/>
      <c r="I192">
        <v>1</v>
      </c>
      <c r="K192" s="13">
        <v>3</v>
      </c>
      <c r="L192" s="13" t="s">
        <v>466</v>
      </c>
      <c r="M192" t="s">
        <v>62</v>
      </c>
      <c r="N192" t="s">
        <v>49</v>
      </c>
      <c r="O192" t="str">
        <f>IF(OR(AND(data!M192='categories 2'!A$2,data!N192='categories 2'!B$2),
       AND(data!M192='categories 2'!A$3,data!N192='categories 2'!B$3),
       AND(data!M192='categories 2'!A$4,data!N192='categories 2'!B$4),
       AND(data!M192='categories 2'!A$5,data!N192='categories 2'!B$5)), "aligned", "MISALIGNED")</f>
        <v>MISALIGNED</v>
      </c>
    </row>
    <row r="193" spans="1:17" ht="28.75" customHeight="1" x14ac:dyDescent="0.2">
      <c r="A193" s="16" t="s">
        <v>304</v>
      </c>
      <c r="B193" s="13" t="s">
        <v>305</v>
      </c>
      <c r="C193" s="13">
        <v>2010</v>
      </c>
      <c r="D193" s="13" t="s">
        <v>306</v>
      </c>
      <c r="E193" s="13" t="s">
        <v>307</v>
      </c>
      <c r="F193" s="13" t="s">
        <v>308</v>
      </c>
      <c r="G193" s="13">
        <v>77</v>
      </c>
      <c r="H193" s="13">
        <v>1</v>
      </c>
      <c r="I193">
        <v>2</v>
      </c>
      <c r="K193" s="13">
        <v>1</v>
      </c>
      <c r="L193" t="s">
        <v>447</v>
      </c>
      <c r="M193" t="s">
        <v>61</v>
      </c>
      <c r="N193" t="s">
        <v>65</v>
      </c>
      <c r="O193" t="str">
        <f>IF(OR(AND(data!M193='categories 2'!A$2,data!N193='categories 2'!B$2),
       AND(data!M193='categories 2'!A$3,data!N193='categories 2'!B$3),
       AND(data!M193='categories 2'!A$4,data!N193='categories 2'!B$4),
       AND(data!M193='categories 2'!A$5,data!N193='categories 2'!B$5)), "aligned", "MISALIGNED")</f>
        <v>MISALIGNED</v>
      </c>
      <c r="P193" s="8" t="b">
        <v>0</v>
      </c>
      <c r="Q193" s="8" t="b">
        <v>1</v>
      </c>
    </row>
    <row r="194" spans="1:17" ht="28.75" customHeight="1" x14ac:dyDescent="0.2">
      <c r="A194" s="16"/>
      <c r="B194" s="13"/>
      <c r="C194" s="13"/>
      <c r="E194" s="13"/>
      <c r="G194" s="13"/>
      <c r="H194" s="13"/>
      <c r="I194">
        <v>2</v>
      </c>
      <c r="K194" s="13">
        <v>2</v>
      </c>
      <c r="L194" t="s">
        <v>448</v>
      </c>
      <c r="M194" t="s">
        <v>61</v>
      </c>
      <c r="N194" t="s">
        <v>65</v>
      </c>
      <c r="O194" t="str">
        <f>IF(OR(AND(data!M194='categories 2'!A$2,data!N194='categories 2'!B$2),
       AND(data!M194='categories 2'!A$3,data!N194='categories 2'!B$3),
       AND(data!M194='categories 2'!A$4,data!N194='categories 2'!B$4),
       AND(data!M194='categories 2'!A$5,data!N194='categories 2'!B$5)), "aligned", "MISALIGNED")</f>
        <v>MISALIGNED</v>
      </c>
      <c r="P194" s="8" t="b">
        <v>0</v>
      </c>
      <c r="Q194" s="8" t="b">
        <v>1</v>
      </c>
    </row>
    <row r="195" spans="1:17" ht="28.75" customHeight="1" x14ac:dyDescent="0.2">
      <c r="A195" s="16" t="s">
        <v>309</v>
      </c>
      <c r="B195" s="13" t="s">
        <v>310</v>
      </c>
      <c r="C195" s="13">
        <v>2012</v>
      </c>
      <c r="D195" s="13" t="s">
        <v>311</v>
      </c>
      <c r="E195" s="13" t="s">
        <v>307</v>
      </c>
      <c r="F195" s="13" t="s">
        <v>312</v>
      </c>
      <c r="G195" s="13">
        <v>12</v>
      </c>
      <c r="H195" s="13">
        <v>2</v>
      </c>
      <c r="I195">
        <v>1</v>
      </c>
      <c r="K195" s="13">
        <v>1</v>
      </c>
      <c r="L195" t="s">
        <v>449</v>
      </c>
      <c r="M195" t="s">
        <v>60</v>
      </c>
      <c r="N195" t="s">
        <v>49</v>
      </c>
      <c r="O195" t="str">
        <f>IF(OR(AND(data!M195='categories 2'!A$2,data!N195='categories 2'!B$2),
       AND(data!M195='categories 2'!A$3,data!N195='categories 2'!B$3),
       AND(data!M195='categories 2'!A$4,data!N195='categories 2'!B$4),
       AND(data!M195='categories 2'!A$5,data!N195='categories 2'!B$5)), "aligned", "MISALIGNED")</f>
        <v>aligned</v>
      </c>
    </row>
    <row r="196" spans="1:17" ht="28.75" customHeight="1" x14ac:dyDescent="0.2">
      <c r="A196" s="16"/>
      <c r="B196" s="13"/>
      <c r="C196" s="13"/>
      <c r="E196" s="13"/>
      <c r="G196" s="13"/>
      <c r="H196" s="13"/>
      <c r="I196">
        <v>1</v>
      </c>
      <c r="K196" s="13">
        <v>2</v>
      </c>
      <c r="L196" t="s">
        <v>450</v>
      </c>
      <c r="M196" t="s">
        <v>60</v>
      </c>
      <c r="N196" t="s">
        <v>49</v>
      </c>
      <c r="O196" t="str">
        <f>IF(OR(AND(data!M196='categories 2'!A$2,data!N196='categories 2'!B$2),
       AND(data!M196='categories 2'!A$3,data!N196='categories 2'!B$3),
       AND(data!M196='categories 2'!A$4,data!N196='categories 2'!B$4),
       AND(data!M196='categories 2'!A$5,data!N196='categories 2'!B$5)), "aligned", "MISALIGNED")</f>
        <v>aligned</v>
      </c>
    </row>
    <row r="197" spans="1:17" ht="28.75" customHeight="1" x14ac:dyDescent="0.2">
      <c r="A197" s="16" t="s">
        <v>313</v>
      </c>
      <c r="B197" s="13" t="s">
        <v>314</v>
      </c>
      <c r="C197" s="13">
        <v>2021</v>
      </c>
      <c r="D197" s="13" t="s">
        <v>315</v>
      </c>
      <c r="E197" s="13" t="s">
        <v>316</v>
      </c>
      <c r="F197" s="13" t="s">
        <v>317</v>
      </c>
      <c r="G197" s="13">
        <v>29</v>
      </c>
      <c r="H197" s="13">
        <v>1</v>
      </c>
      <c r="I197">
        <v>1</v>
      </c>
      <c r="K197" s="13">
        <v>1</v>
      </c>
      <c r="L197" t="s">
        <v>451</v>
      </c>
      <c r="M197" t="s">
        <v>61</v>
      </c>
      <c r="N197" t="s">
        <v>64</v>
      </c>
      <c r="O197" t="str">
        <f>IF(OR(AND(data!M197='categories 2'!A$2,data!N197='categories 2'!B$2),
       AND(data!M197='categories 2'!A$3,data!N197='categories 2'!B$3),
       AND(data!M197='categories 2'!A$4,data!N197='categories 2'!B$4),
       AND(data!M197='categories 2'!A$5,data!N197='categories 2'!B$5)), "aligned", "MISALIGNED")</f>
        <v>aligned</v>
      </c>
    </row>
    <row r="198" spans="1:17" ht="28.75" customHeight="1" x14ac:dyDescent="0.2">
      <c r="A198" s="16"/>
      <c r="B198" s="13"/>
      <c r="C198" s="13"/>
      <c r="E198" s="13"/>
      <c r="G198" s="13"/>
      <c r="H198" s="13"/>
      <c r="I198">
        <v>1</v>
      </c>
      <c r="K198" s="13">
        <v>2</v>
      </c>
      <c r="L198" t="s">
        <v>452</v>
      </c>
      <c r="M198" t="s">
        <v>61</v>
      </c>
      <c r="N198" t="s">
        <v>64</v>
      </c>
      <c r="O198" t="str">
        <f>IF(OR(AND(data!M198='categories 2'!A$2,data!N198='categories 2'!B$2),
       AND(data!M198='categories 2'!A$3,data!N198='categories 2'!B$3),
       AND(data!M198='categories 2'!A$4,data!N198='categories 2'!B$4),
       AND(data!M198='categories 2'!A$5,data!N198='categories 2'!B$5)), "aligned", "MISALIGNED")</f>
        <v>aligned</v>
      </c>
    </row>
    <row r="199" spans="1:17" ht="28.75" customHeight="1" x14ac:dyDescent="0.2">
      <c r="A199" s="16"/>
      <c r="B199" s="13"/>
      <c r="C199" s="13"/>
      <c r="E199" s="13"/>
      <c r="G199" s="13"/>
      <c r="H199" s="13"/>
      <c r="I199">
        <v>1</v>
      </c>
      <c r="J199" t="s">
        <v>453</v>
      </c>
      <c r="K199" s="13">
        <v>3</v>
      </c>
      <c r="L199" s="13" t="s">
        <v>523</v>
      </c>
      <c r="M199" t="s">
        <v>61</v>
      </c>
      <c r="N199" t="s">
        <v>68</v>
      </c>
      <c r="O199" t="str">
        <f>IF(OR(AND(data!M199='categories 2'!A$2,data!N199='categories 2'!B$2),
       AND(data!M199='categories 2'!A$3,data!N199='categories 2'!B$3),
       AND(data!M199='categories 2'!A$4,data!N199='categories 2'!B$4),
       AND(data!M199='categories 2'!A$5,data!N199='categories 2'!B$5)), "aligned", "MISALIGNED")</f>
        <v>MISALIGNED</v>
      </c>
    </row>
    <row r="200" spans="1:17" ht="28.75" customHeight="1" x14ac:dyDescent="0.2">
      <c r="A200" s="16" t="s">
        <v>536</v>
      </c>
      <c r="B200" s="13" t="s">
        <v>537</v>
      </c>
      <c r="C200" s="13">
        <v>2021</v>
      </c>
      <c r="D200" s="13" t="s">
        <v>538</v>
      </c>
      <c r="E200" s="13" t="s">
        <v>316</v>
      </c>
      <c r="F200" s="13" t="s">
        <v>539</v>
      </c>
      <c r="G200" s="13">
        <v>40</v>
      </c>
      <c r="H200" s="13">
        <v>2</v>
      </c>
      <c r="I200">
        <v>1</v>
      </c>
      <c r="K200" s="13">
        <v>1</v>
      </c>
      <c r="L200" t="s">
        <v>540</v>
      </c>
      <c r="M200" t="s">
        <v>61</v>
      </c>
      <c r="N200" t="s">
        <v>50</v>
      </c>
      <c r="O200" t="str">
        <f>IF(OR(AND(data!M200='categories 2'!A$2,data!N200='categories 2'!B$2),
       AND(data!M200='categories 2'!A$3,data!N200='categories 2'!B$3),
       AND(data!M200='categories 2'!A$4,data!N200='categories 2'!B$4),
       AND(data!M200='categories 2'!A$5,data!N200='categories 2'!B$5)), "aligned", "MISALIGNED")</f>
        <v>MISALIGNED</v>
      </c>
    </row>
    <row r="201" spans="1:17" ht="28.75" customHeight="1" x14ac:dyDescent="0.2">
      <c r="I201">
        <v>1</v>
      </c>
      <c r="K201" s="13">
        <v>2</v>
      </c>
      <c r="L201" t="s">
        <v>541</v>
      </c>
      <c r="M201" t="s">
        <v>61</v>
      </c>
      <c r="N201" t="s">
        <v>64</v>
      </c>
      <c r="O201" t="str">
        <f>IF(OR(AND(data!M201='categories 2'!A$2,data!N201='categories 2'!B$2),
       AND(data!M201='categories 2'!A$3,data!N201='categories 2'!B$3),
       AND(data!M201='categories 2'!A$4,data!N201='categories 2'!B$4),
       AND(data!M201='categories 2'!A$5,data!N201='categories 2'!B$5)), "aligned", "MISALIGNED")</f>
        <v>aligned</v>
      </c>
    </row>
  </sheetData>
  <hyperlinks>
    <hyperlink ref="F28" r:id="rId1" xr:uid="{7020DFD3-F0F7-441B-82A0-F88856E137F4}"/>
    <hyperlink ref="F10" r:id="rId2" xr:uid="{87422508-A1D1-4978-8C23-51B45DDB3233}"/>
    <hyperlink ref="F17" r:id="rId3" xr:uid="{5B14716F-D4A5-478E-9B66-F3B87A69FAB8}"/>
  </hyperlinks>
  <pageMargins left="0.7" right="0.7" top="0.75" bottom="0.75" header="0.3" footer="0.3"/>
  <pageSetup paperSize="9" orientation="portrait" r:id="rId4"/>
  <extLst>
    <ext xmlns:x14="http://schemas.microsoft.com/office/spreadsheetml/2009/9/main" uri="{78C0D931-6437-407d-A8EE-F0AAD7539E65}">
      <x14:conditionalFormattings>
        <x14:conditionalFormatting xmlns:xm="http://schemas.microsoft.com/office/excel/2006/main">
          <x14:cfRule type="cellIs" priority="2" operator="equal" id="{F93C3108-4D17-5041-AA54-C2080DFA2431}">
            <xm:f>'categories 2'!$B$4</xm:f>
            <x14:dxf>
              <font>
                <color rgb="FF9C0006"/>
              </font>
              <fill>
                <patternFill>
                  <bgColor rgb="FFFFC7CE"/>
                </patternFill>
              </fill>
            </x14:dxf>
          </x14:cfRule>
          <xm:sqref>N2:N87 N176:N201 N90:N174</xm:sqref>
        </x14:conditionalFormatting>
        <x14:conditionalFormatting xmlns:xm="http://schemas.microsoft.com/office/excel/2006/main">
          <x14:cfRule type="cellIs" priority="3" operator="equal" id="{022F1155-29B3-3D46-96F0-62DD73B1C02D}">
            <xm:f>'categories 2'!$D$2</xm:f>
            <x14:dxf>
              <font>
                <color rgb="FF006100"/>
              </font>
              <fill>
                <patternFill>
                  <bgColor rgb="FFC6EFCE"/>
                </patternFill>
              </fill>
            </x14:dxf>
          </x14:cfRule>
          <x14:cfRule type="cellIs" priority="4" operator="equal" id="{B6E89E3D-FC44-5346-938E-5D5CA67B8568}">
            <xm:f>'categories 2'!$D$3</xm:f>
            <x14:dxf>
              <font>
                <color rgb="FF9C5700"/>
              </font>
              <fill>
                <patternFill>
                  <bgColor rgb="FFFFEB9C"/>
                </patternFill>
              </fill>
            </x14:dxf>
          </x14:cfRule>
          <xm:sqref>O2:O201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914D7E81-106B-CA43-B0E0-2B702EF6B114}">
          <x14:formula1>
            <xm:f>'categories 2'!$A$2:$A$7</xm:f>
          </x14:formula1>
          <xm:sqref>M2:M87 M176:M201 M90:M174</xm:sqref>
        </x14:dataValidation>
        <x14:dataValidation type="list" allowBlank="1" showInputMessage="1" showErrorMessage="1" xr:uid="{19A1F0E7-BC38-804B-81FF-4F586F80BA53}">
          <x14:formula1>
            <xm:f>'categories 2'!$B$2:$B$7</xm:f>
          </x14:formula1>
          <xm:sqref>N2:N87 N176:N201 N90:N174</xm:sqref>
        </x14:dataValidation>
        <x14:dataValidation type="list" allowBlank="1" showInputMessage="1" showErrorMessage="1" xr:uid="{8705BDD4-4669-4849-8FF5-3632D429CB1D}">
          <x14:formula1>
            <xm:f>'categories 2'!$C$2:$C$5</xm:f>
          </x14:formula1>
          <xm:sqref>P2:Q201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D104-9C7D-5741-86F4-E80388891B6D}">
  <dimension ref="A1:B18"/>
  <sheetViews>
    <sheetView zoomScale="85" zoomScaleNormal="85" workbookViewId="0">
      <selection activeCell="B5" sqref="B5"/>
    </sheetView>
  </sheetViews>
  <sheetFormatPr baseColWidth="10" defaultColWidth="10.83203125" defaultRowHeight="15" x14ac:dyDescent="0.2"/>
  <cols>
    <col min="1" max="1" width="57.83203125" customWidth="1"/>
    <col min="2" max="2" width="65.5" customWidth="1"/>
  </cols>
  <sheetData>
    <row r="1" spans="1:2" x14ac:dyDescent="0.2">
      <c r="A1" s="2" t="s">
        <v>9</v>
      </c>
      <c r="B1" s="2" t="s">
        <v>10</v>
      </c>
    </row>
    <row r="2" spans="1:2" x14ac:dyDescent="0.2">
      <c r="A2" s="3" t="s">
        <v>11</v>
      </c>
      <c r="B2" t="s">
        <v>12</v>
      </c>
    </row>
    <row r="3" spans="1:2" x14ac:dyDescent="0.2">
      <c r="A3" s="3" t="s">
        <v>17</v>
      </c>
      <c r="B3" t="s">
        <v>18</v>
      </c>
    </row>
    <row r="4" spans="1:2" x14ac:dyDescent="0.2">
      <c r="A4" s="3" t="s">
        <v>36</v>
      </c>
      <c r="B4" t="s">
        <v>24</v>
      </c>
    </row>
    <row r="5" spans="1:2" x14ac:dyDescent="0.2">
      <c r="A5" s="3" t="s">
        <v>29</v>
      </c>
      <c r="B5" t="s">
        <v>30</v>
      </c>
    </row>
    <row r="6" spans="1:2" x14ac:dyDescent="0.2">
      <c r="A6" s="4" t="s">
        <v>13</v>
      </c>
      <c r="B6" t="s">
        <v>14</v>
      </c>
    </row>
    <row r="7" spans="1:2" x14ac:dyDescent="0.2">
      <c r="A7" s="4" t="s">
        <v>19</v>
      </c>
      <c r="B7" t="s">
        <v>40</v>
      </c>
    </row>
    <row r="8" spans="1:2" x14ac:dyDescent="0.2">
      <c r="A8" s="4" t="s">
        <v>37</v>
      </c>
      <c r="B8" t="s">
        <v>25</v>
      </c>
    </row>
    <row r="9" spans="1:2" x14ac:dyDescent="0.2">
      <c r="A9" s="4" t="s">
        <v>31</v>
      </c>
      <c r="B9" t="s">
        <v>32</v>
      </c>
    </row>
    <row r="10" spans="1:2" x14ac:dyDescent="0.2">
      <c r="A10" s="5" t="s">
        <v>38</v>
      </c>
      <c r="B10" t="s">
        <v>15</v>
      </c>
    </row>
    <row r="11" spans="1:2" x14ac:dyDescent="0.2">
      <c r="A11" s="5" t="s">
        <v>20</v>
      </c>
      <c r="B11" t="s">
        <v>21</v>
      </c>
    </row>
    <row r="12" spans="1:2" x14ac:dyDescent="0.2">
      <c r="A12" s="5" t="s">
        <v>39</v>
      </c>
      <c r="B12" t="s">
        <v>26</v>
      </c>
    </row>
    <row r="13" spans="1:2" x14ac:dyDescent="0.2">
      <c r="A13" s="5" t="s">
        <v>33</v>
      </c>
      <c r="B13" t="s">
        <v>41</v>
      </c>
    </row>
    <row r="14" spans="1:2" x14ac:dyDescent="0.2">
      <c r="A14" s="6" t="s">
        <v>16</v>
      </c>
      <c r="B14" t="s">
        <v>42</v>
      </c>
    </row>
    <row r="15" spans="1:2" x14ac:dyDescent="0.2">
      <c r="A15" s="6" t="s">
        <v>22</v>
      </c>
      <c r="B15" t="s">
        <v>23</v>
      </c>
    </row>
    <row r="16" spans="1:2" x14ac:dyDescent="0.2">
      <c r="A16" s="6" t="s">
        <v>27</v>
      </c>
      <c r="B16" t="s">
        <v>28</v>
      </c>
    </row>
    <row r="17" spans="1:2" x14ac:dyDescent="0.2">
      <c r="A17" s="6" t="s">
        <v>34</v>
      </c>
      <c r="B17" t="s">
        <v>35</v>
      </c>
    </row>
    <row r="18" spans="1:2" x14ac:dyDescent="0.2">
      <c r="A18" s="7"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C7AA-F795-D647-B78E-806B10482475}">
  <dimension ref="A1:D16"/>
  <sheetViews>
    <sheetView zoomScale="85" zoomScaleNormal="85" workbookViewId="0">
      <selection activeCell="C5" sqref="C5"/>
    </sheetView>
  </sheetViews>
  <sheetFormatPr baseColWidth="10" defaultColWidth="10.83203125" defaultRowHeight="15" x14ac:dyDescent="0.2"/>
  <cols>
    <col min="1" max="1" width="73.6640625" customWidth="1"/>
    <col min="2" max="2" width="47" customWidth="1"/>
    <col min="3" max="3" width="14.83203125" customWidth="1"/>
  </cols>
  <sheetData>
    <row r="1" spans="1:4" x14ac:dyDescent="0.2">
      <c r="A1" s="2" t="s">
        <v>43</v>
      </c>
      <c r="B1" s="2" t="s">
        <v>44</v>
      </c>
      <c r="C1" s="2" t="s">
        <v>53</v>
      </c>
      <c r="D1" s="2" t="s">
        <v>56</v>
      </c>
    </row>
    <row r="2" spans="1:4" x14ac:dyDescent="0.2">
      <c r="A2" t="s">
        <v>61</v>
      </c>
      <c r="B2" t="s">
        <v>64</v>
      </c>
      <c r="C2" t="b">
        <v>1</v>
      </c>
      <c r="D2" t="s">
        <v>57</v>
      </c>
    </row>
    <row r="3" spans="1:4" x14ac:dyDescent="0.2">
      <c r="A3" t="s">
        <v>60</v>
      </c>
      <c r="B3" t="s">
        <v>49</v>
      </c>
      <c r="C3" t="b">
        <v>0</v>
      </c>
      <c r="D3" t="s">
        <v>58</v>
      </c>
    </row>
    <row r="4" spans="1:4" x14ac:dyDescent="0.2">
      <c r="A4" t="s">
        <v>63</v>
      </c>
      <c r="B4" t="s">
        <v>65</v>
      </c>
      <c r="C4" t="s">
        <v>54</v>
      </c>
    </row>
    <row r="5" spans="1:4" x14ac:dyDescent="0.2">
      <c r="A5" t="s">
        <v>62</v>
      </c>
      <c r="B5" t="s">
        <v>50</v>
      </c>
      <c r="C5" t="s">
        <v>68</v>
      </c>
    </row>
    <row r="6" spans="1:4" x14ac:dyDescent="0.2">
      <c r="A6" t="s">
        <v>54</v>
      </c>
      <c r="B6" t="s">
        <v>54</v>
      </c>
    </row>
    <row r="7" spans="1:4" x14ac:dyDescent="0.2">
      <c r="A7" t="s">
        <v>68</v>
      </c>
      <c r="B7" t="s">
        <v>68</v>
      </c>
    </row>
    <row r="11" spans="1:4" x14ac:dyDescent="0.2">
      <c r="A11" s="10" t="s">
        <v>59</v>
      </c>
      <c r="B11" s="10"/>
    </row>
    <row r="12" spans="1:4" x14ac:dyDescent="0.2">
      <c r="A12" s="10" t="s">
        <v>46</v>
      </c>
      <c r="B12" s="10" t="s">
        <v>52</v>
      </c>
    </row>
    <row r="13" spans="1:4" x14ac:dyDescent="0.2">
      <c r="A13" s="10" t="s">
        <v>47</v>
      </c>
      <c r="B13" s="10" t="s">
        <v>49</v>
      </c>
    </row>
    <row r="14" spans="1:4" x14ac:dyDescent="0.2">
      <c r="A14" s="10" t="s">
        <v>48</v>
      </c>
      <c r="B14" s="10" t="s">
        <v>51</v>
      </c>
    </row>
    <row r="15" spans="1:4" x14ac:dyDescent="0.2">
      <c r="A15" s="10" t="s">
        <v>45</v>
      </c>
      <c r="B15" s="10" t="s">
        <v>50</v>
      </c>
    </row>
    <row r="16" spans="1:4" x14ac:dyDescent="0.2">
      <c r="A16" s="10" t="s">
        <v>54</v>
      </c>
      <c r="B16" s="10"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categories</vt:lpstr>
      <vt:lpstr>categories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 halbritter</dc:creator>
  <cp:lastModifiedBy>Hussey, Ian (PSY)</cp:lastModifiedBy>
  <dcterms:created xsi:type="dcterms:W3CDTF">2025-09-26T12:41:27Z</dcterms:created>
  <dcterms:modified xsi:type="dcterms:W3CDTF">2025-11-21T16:50:27Z</dcterms:modified>
</cp:coreProperties>
</file>